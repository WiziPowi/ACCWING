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10.xml" ContentType="application/vnd.openxmlformats-officedocument.drawing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192.168.1.50\ACCWing Etudes\Absa.L\"/>
    </mc:Choice>
  </mc:AlternateContent>
  <xr:revisionPtr revIDLastSave="0" documentId="13_ncr:1_{DDC9704E-FF52-4297-BC11-047A531CC8CB}" xr6:coauthVersionLast="47" xr6:coauthVersionMax="47" xr10:uidLastSave="{00000000-0000-0000-0000-000000000000}"/>
  <bookViews>
    <workbookView xWindow="-28920" yWindow="3690" windowWidth="29040" windowHeight="15720" tabRatio="500" activeTab="7" xr2:uid="{00000000-000D-0000-FFFF-FFFF00000000}"/>
  </bookViews>
  <sheets>
    <sheet name="Résumé" sheetId="1" r:id="rId1"/>
    <sheet name="AWS 5kt" sheetId="2" r:id="rId2"/>
    <sheet name="AWS 10kt" sheetId="3" r:id="rId3"/>
    <sheet name="AWS 15kt" sheetId="4" r:id="rId4"/>
    <sheet name="AWS 20kt" sheetId="5" r:id="rId5"/>
    <sheet name="AWS 25kt" sheetId="6" r:id="rId6"/>
    <sheet name="AWS 30kt" sheetId="7" r:id="rId7"/>
    <sheet name="AWS 35kt" sheetId="8" r:id="rId8"/>
    <sheet name="AWS 40kt" sheetId="9" r:id="rId9"/>
    <sheet name="AWS 45kt" sheetId="10" r:id="rId10"/>
    <sheet name="AWS 50kt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V19" i="11" l="1"/>
  <c r="U19" i="11"/>
  <c r="T19" i="11"/>
  <c r="S19" i="11"/>
  <c r="R19" i="11"/>
  <c r="Q19" i="11"/>
  <c r="P19" i="11"/>
  <c r="O19" i="11"/>
  <c r="N19" i="11"/>
  <c r="M19" i="11"/>
  <c r="V18" i="11"/>
  <c r="U18" i="11"/>
  <c r="T18" i="11"/>
  <c r="S18" i="11"/>
  <c r="R18" i="11"/>
  <c r="Q18" i="11"/>
  <c r="P18" i="11"/>
  <c r="O18" i="11"/>
  <c r="N18" i="11"/>
  <c r="M18" i="11"/>
  <c r="V17" i="11"/>
  <c r="U17" i="11"/>
  <c r="T17" i="11"/>
  <c r="S17" i="11"/>
  <c r="R17" i="11"/>
  <c r="Q17" i="11"/>
  <c r="P17" i="11"/>
  <c r="O17" i="11"/>
  <c r="N17" i="11"/>
  <c r="M17" i="11"/>
  <c r="V16" i="11"/>
  <c r="U16" i="11"/>
  <c r="T16" i="11"/>
  <c r="S16" i="11"/>
  <c r="R16" i="11"/>
  <c r="Q16" i="11"/>
  <c r="P16" i="11"/>
  <c r="O16" i="11"/>
  <c r="N16" i="11"/>
  <c r="M16" i="11"/>
  <c r="V15" i="11"/>
  <c r="U15" i="11"/>
  <c r="T15" i="11"/>
  <c r="S15" i="11"/>
  <c r="R15" i="11"/>
  <c r="Q15" i="11"/>
  <c r="P15" i="11"/>
  <c r="O15" i="11"/>
  <c r="N15" i="11"/>
  <c r="M15" i="11"/>
  <c r="V14" i="11"/>
  <c r="U14" i="11"/>
  <c r="T14" i="11"/>
  <c r="S14" i="11"/>
  <c r="R14" i="11"/>
  <c r="Q14" i="11"/>
  <c r="P14" i="11"/>
  <c r="O14" i="11"/>
  <c r="N14" i="11"/>
  <c r="M14" i="11"/>
  <c r="V13" i="11"/>
  <c r="U13" i="11"/>
  <c r="T13" i="11"/>
  <c r="S13" i="11"/>
  <c r="R13" i="11"/>
  <c r="Q13" i="11"/>
  <c r="P13" i="11"/>
  <c r="O13" i="11"/>
  <c r="N13" i="11"/>
  <c r="M13" i="11"/>
  <c r="V12" i="11"/>
  <c r="U12" i="11"/>
  <c r="T12" i="11"/>
  <c r="S12" i="11"/>
  <c r="R12" i="11"/>
  <c r="Q12" i="11"/>
  <c r="P12" i="11"/>
  <c r="O12" i="11"/>
  <c r="N12" i="11"/>
  <c r="M12" i="11"/>
  <c r="V11" i="11"/>
  <c r="U11" i="11"/>
  <c r="T11" i="11"/>
  <c r="S11" i="11"/>
  <c r="R11" i="11"/>
  <c r="Q11" i="11"/>
  <c r="P11" i="11"/>
  <c r="O11" i="11"/>
  <c r="N11" i="11"/>
  <c r="M11" i="11"/>
  <c r="V10" i="11"/>
  <c r="U10" i="11"/>
  <c r="T10" i="11"/>
  <c r="S10" i="11"/>
  <c r="R10" i="11"/>
  <c r="Q10" i="11"/>
  <c r="P10" i="11"/>
  <c r="O10" i="11"/>
  <c r="N10" i="11"/>
  <c r="M10" i="11"/>
  <c r="V9" i="11"/>
  <c r="U9" i="11"/>
  <c r="T9" i="11"/>
  <c r="S9" i="11"/>
  <c r="R9" i="11"/>
  <c r="Q9" i="11"/>
  <c r="P9" i="11"/>
  <c r="O9" i="11"/>
  <c r="N9" i="11"/>
  <c r="M9" i="11"/>
  <c r="V8" i="11"/>
  <c r="U8" i="11"/>
  <c r="T8" i="11"/>
  <c r="S8" i="11"/>
  <c r="R8" i="11"/>
  <c r="Q8" i="11"/>
  <c r="P8" i="11"/>
  <c r="O8" i="11"/>
  <c r="N8" i="11"/>
  <c r="M8" i="11"/>
  <c r="V7" i="11"/>
  <c r="U7" i="11"/>
  <c r="T7" i="11"/>
  <c r="S7" i="11"/>
  <c r="R7" i="11"/>
  <c r="Q7" i="11"/>
  <c r="P7" i="11"/>
  <c r="O7" i="11"/>
  <c r="N7" i="11"/>
  <c r="M7" i="11"/>
  <c r="V6" i="11"/>
  <c r="U6" i="11"/>
  <c r="T6" i="11"/>
  <c r="S6" i="11"/>
  <c r="R6" i="11"/>
  <c r="Q6" i="11"/>
  <c r="P6" i="11"/>
  <c r="O6" i="11"/>
  <c r="N6" i="11"/>
  <c r="M6" i="11"/>
  <c r="V5" i="11"/>
  <c r="U5" i="11"/>
  <c r="T5" i="11"/>
  <c r="S5" i="11"/>
  <c r="R5" i="11"/>
  <c r="Q5" i="11"/>
  <c r="P5" i="11"/>
  <c r="O5" i="11"/>
  <c r="N5" i="11"/>
  <c r="M5" i="11"/>
  <c r="V4" i="11"/>
  <c r="U4" i="11"/>
  <c r="T4" i="11"/>
  <c r="S4" i="11"/>
  <c r="R4" i="11"/>
  <c r="Q4" i="11"/>
  <c r="P4" i="11"/>
  <c r="O4" i="11"/>
  <c r="N4" i="11"/>
  <c r="M4" i="11"/>
  <c r="V19" i="10"/>
  <c r="U19" i="10"/>
  <c r="T19" i="10"/>
  <c r="S19" i="10"/>
  <c r="R19" i="10"/>
  <c r="Q19" i="10"/>
  <c r="P19" i="10"/>
  <c r="O19" i="10"/>
  <c r="N19" i="10"/>
  <c r="M19" i="10"/>
  <c r="V18" i="10"/>
  <c r="U18" i="10"/>
  <c r="T18" i="10"/>
  <c r="S18" i="10"/>
  <c r="R18" i="10"/>
  <c r="Q18" i="10"/>
  <c r="P18" i="10"/>
  <c r="O18" i="10"/>
  <c r="N18" i="10"/>
  <c r="M18" i="10"/>
  <c r="V17" i="10"/>
  <c r="U17" i="10"/>
  <c r="T17" i="10"/>
  <c r="S17" i="10"/>
  <c r="R17" i="10"/>
  <c r="Q17" i="10"/>
  <c r="P17" i="10"/>
  <c r="O17" i="10"/>
  <c r="N17" i="10"/>
  <c r="M17" i="10"/>
  <c r="V16" i="10"/>
  <c r="U16" i="10"/>
  <c r="T16" i="10"/>
  <c r="S16" i="10"/>
  <c r="R16" i="10"/>
  <c r="Q16" i="10"/>
  <c r="P16" i="10"/>
  <c r="O16" i="10"/>
  <c r="N16" i="10"/>
  <c r="M16" i="10"/>
  <c r="V15" i="10"/>
  <c r="U15" i="10"/>
  <c r="T15" i="10"/>
  <c r="S15" i="10"/>
  <c r="R15" i="10"/>
  <c r="Q15" i="10"/>
  <c r="P15" i="10"/>
  <c r="O15" i="10"/>
  <c r="N15" i="10"/>
  <c r="M15" i="10"/>
  <c r="V14" i="10"/>
  <c r="U14" i="10"/>
  <c r="T14" i="10"/>
  <c r="S14" i="10"/>
  <c r="R14" i="10"/>
  <c r="Q14" i="10"/>
  <c r="P14" i="10"/>
  <c r="O14" i="10"/>
  <c r="N14" i="10"/>
  <c r="M14" i="10"/>
  <c r="V13" i="10"/>
  <c r="U13" i="10"/>
  <c r="T13" i="10"/>
  <c r="S13" i="10"/>
  <c r="R13" i="10"/>
  <c r="Q13" i="10"/>
  <c r="P13" i="10"/>
  <c r="O13" i="10"/>
  <c r="N13" i="10"/>
  <c r="M13" i="10"/>
  <c r="V12" i="10"/>
  <c r="U12" i="10"/>
  <c r="T12" i="10"/>
  <c r="S12" i="10"/>
  <c r="R12" i="10"/>
  <c r="Q12" i="10"/>
  <c r="P12" i="10"/>
  <c r="O12" i="10"/>
  <c r="N12" i="10"/>
  <c r="M12" i="10"/>
  <c r="V11" i="10"/>
  <c r="U11" i="10"/>
  <c r="T11" i="10"/>
  <c r="S11" i="10"/>
  <c r="R11" i="10"/>
  <c r="Q11" i="10"/>
  <c r="P11" i="10"/>
  <c r="O11" i="10"/>
  <c r="N11" i="10"/>
  <c r="M11" i="10"/>
  <c r="V10" i="10"/>
  <c r="U10" i="10"/>
  <c r="T10" i="10"/>
  <c r="S10" i="10"/>
  <c r="R10" i="10"/>
  <c r="Q10" i="10"/>
  <c r="P10" i="10"/>
  <c r="O10" i="10"/>
  <c r="N10" i="10"/>
  <c r="M10" i="10"/>
  <c r="V9" i="10"/>
  <c r="U9" i="10"/>
  <c r="T9" i="10"/>
  <c r="S9" i="10"/>
  <c r="R9" i="10"/>
  <c r="Q9" i="10"/>
  <c r="P9" i="10"/>
  <c r="O9" i="10"/>
  <c r="N9" i="10"/>
  <c r="M9" i="10"/>
  <c r="V8" i="10"/>
  <c r="U8" i="10"/>
  <c r="T8" i="10"/>
  <c r="S8" i="10"/>
  <c r="R8" i="10"/>
  <c r="Q8" i="10"/>
  <c r="P8" i="10"/>
  <c r="O8" i="10"/>
  <c r="N8" i="10"/>
  <c r="M8" i="10"/>
  <c r="V7" i="10"/>
  <c r="U7" i="10"/>
  <c r="T7" i="10"/>
  <c r="S7" i="10"/>
  <c r="R7" i="10"/>
  <c r="Q7" i="10"/>
  <c r="P7" i="10"/>
  <c r="O7" i="10"/>
  <c r="N7" i="10"/>
  <c r="M7" i="10"/>
  <c r="V6" i="10"/>
  <c r="U6" i="10"/>
  <c r="T6" i="10"/>
  <c r="S6" i="10"/>
  <c r="R6" i="10"/>
  <c r="Q6" i="10"/>
  <c r="P6" i="10"/>
  <c r="O6" i="10"/>
  <c r="N6" i="10"/>
  <c r="M6" i="10"/>
  <c r="V5" i="10"/>
  <c r="U5" i="10"/>
  <c r="T5" i="10"/>
  <c r="S5" i="10"/>
  <c r="R5" i="10"/>
  <c r="Q5" i="10"/>
  <c r="P5" i="10"/>
  <c r="O5" i="10"/>
  <c r="N5" i="10"/>
  <c r="M5" i="10"/>
  <c r="V4" i="10"/>
  <c r="U4" i="10"/>
  <c r="T4" i="10"/>
  <c r="S4" i="10"/>
  <c r="R4" i="10"/>
  <c r="Q4" i="10"/>
  <c r="P4" i="10"/>
  <c r="O4" i="10"/>
  <c r="N4" i="10"/>
  <c r="M4" i="10"/>
  <c r="V19" i="9"/>
  <c r="U19" i="9"/>
  <c r="T19" i="9"/>
  <c r="S19" i="9"/>
  <c r="R19" i="9"/>
  <c r="Q19" i="9"/>
  <c r="P19" i="9"/>
  <c r="O19" i="9"/>
  <c r="N19" i="9"/>
  <c r="M19" i="9"/>
  <c r="V18" i="9"/>
  <c r="U18" i="9"/>
  <c r="T18" i="9"/>
  <c r="S18" i="9"/>
  <c r="R18" i="9"/>
  <c r="Q18" i="9"/>
  <c r="P18" i="9"/>
  <c r="O18" i="9"/>
  <c r="N18" i="9"/>
  <c r="M18" i="9"/>
  <c r="V17" i="9"/>
  <c r="U17" i="9"/>
  <c r="T17" i="9"/>
  <c r="S17" i="9"/>
  <c r="R17" i="9"/>
  <c r="Q17" i="9"/>
  <c r="P17" i="9"/>
  <c r="O17" i="9"/>
  <c r="N17" i="9"/>
  <c r="M17" i="9"/>
  <c r="V16" i="9"/>
  <c r="U16" i="9"/>
  <c r="T16" i="9"/>
  <c r="S16" i="9"/>
  <c r="R16" i="9"/>
  <c r="Q16" i="9"/>
  <c r="P16" i="9"/>
  <c r="O16" i="9"/>
  <c r="N16" i="9"/>
  <c r="M16" i="9"/>
  <c r="V15" i="9"/>
  <c r="U15" i="9"/>
  <c r="T15" i="9"/>
  <c r="S15" i="9"/>
  <c r="R15" i="9"/>
  <c r="Q15" i="9"/>
  <c r="P15" i="9"/>
  <c r="O15" i="9"/>
  <c r="N15" i="9"/>
  <c r="M15" i="9"/>
  <c r="V14" i="9"/>
  <c r="U14" i="9"/>
  <c r="T14" i="9"/>
  <c r="S14" i="9"/>
  <c r="R14" i="9"/>
  <c r="Q14" i="9"/>
  <c r="P14" i="9"/>
  <c r="O14" i="9"/>
  <c r="N14" i="9"/>
  <c r="M14" i="9"/>
  <c r="V13" i="9"/>
  <c r="U13" i="9"/>
  <c r="T13" i="9"/>
  <c r="S13" i="9"/>
  <c r="R13" i="9"/>
  <c r="Q13" i="9"/>
  <c r="P13" i="9"/>
  <c r="O13" i="9"/>
  <c r="N13" i="9"/>
  <c r="M13" i="9"/>
  <c r="V12" i="9"/>
  <c r="U12" i="9"/>
  <c r="T12" i="9"/>
  <c r="S12" i="9"/>
  <c r="R12" i="9"/>
  <c r="Q12" i="9"/>
  <c r="P12" i="9"/>
  <c r="O12" i="9"/>
  <c r="N12" i="9"/>
  <c r="M12" i="9"/>
  <c r="V11" i="9"/>
  <c r="U11" i="9"/>
  <c r="T11" i="9"/>
  <c r="S11" i="9"/>
  <c r="R11" i="9"/>
  <c r="Q11" i="9"/>
  <c r="P11" i="9"/>
  <c r="O11" i="9"/>
  <c r="N11" i="9"/>
  <c r="M11" i="9"/>
  <c r="V10" i="9"/>
  <c r="U10" i="9"/>
  <c r="T10" i="9"/>
  <c r="S10" i="9"/>
  <c r="R10" i="9"/>
  <c r="Q10" i="9"/>
  <c r="P10" i="9"/>
  <c r="O10" i="9"/>
  <c r="N10" i="9"/>
  <c r="M10" i="9"/>
  <c r="V9" i="9"/>
  <c r="U9" i="9"/>
  <c r="T9" i="9"/>
  <c r="S9" i="9"/>
  <c r="R9" i="9"/>
  <c r="Q9" i="9"/>
  <c r="P9" i="9"/>
  <c r="O9" i="9"/>
  <c r="N9" i="9"/>
  <c r="M9" i="9"/>
  <c r="V8" i="9"/>
  <c r="U8" i="9"/>
  <c r="T8" i="9"/>
  <c r="S8" i="9"/>
  <c r="R8" i="9"/>
  <c r="Q8" i="9"/>
  <c r="P8" i="9"/>
  <c r="O8" i="9"/>
  <c r="N8" i="9"/>
  <c r="M8" i="9"/>
  <c r="V7" i="9"/>
  <c r="U7" i="9"/>
  <c r="T7" i="9"/>
  <c r="S7" i="9"/>
  <c r="R7" i="9"/>
  <c r="Q7" i="9"/>
  <c r="P7" i="9"/>
  <c r="O7" i="9"/>
  <c r="N7" i="9"/>
  <c r="M7" i="9"/>
  <c r="V6" i="9"/>
  <c r="U6" i="9"/>
  <c r="T6" i="9"/>
  <c r="S6" i="9"/>
  <c r="R6" i="9"/>
  <c r="Q6" i="9"/>
  <c r="P6" i="9"/>
  <c r="O6" i="9"/>
  <c r="N6" i="9"/>
  <c r="M6" i="9"/>
  <c r="V5" i="9"/>
  <c r="U5" i="9"/>
  <c r="T5" i="9"/>
  <c r="S5" i="9"/>
  <c r="R5" i="9"/>
  <c r="Q5" i="9"/>
  <c r="P5" i="9"/>
  <c r="O5" i="9"/>
  <c r="N5" i="9"/>
  <c r="M5" i="9"/>
  <c r="V4" i="9"/>
  <c r="U4" i="9"/>
  <c r="T4" i="9"/>
  <c r="S4" i="9"/>
  <c r="R4" i="9"/>
  <c r="Q4" i="9"/>
  <c r="P4" i="9"/>
  <c r="O4" i="9"/>
  <c r="N4" i="9"/>
  <c r="M4" i="9"/>
  <c r="V19" i="8"/>
  <c r="U19" i="8"/>
  <c r="T19" i="8"/>
  <c r="S19" i="8"/>
  <c r="R19" i="8"/>
  <c r="Q19" i="8"/>
  <c r="P19" i="8"/>
  <c r="O19" i="8"/>
  <c r="N19" i="8"/>
  <c r="M19" i="8"/>
  <c r="V18" i="8"/>
  <c r="U18" i="8"/>
  <c r="T18" i="8"/>
  <c r="S18" i="8"/>
  <c r="R18" i="8"/>
  <c r="Q18" i="8"/>
  <c r="P18" i="8"/>
  <c r="O18" i="8"/>
  <c r="N18" i="8"/>
  <c r="M18" i="8"/>
  <c r="V17" i="8"/>
  <c r="U17" i="8"/>
  <c r="T17" i="8"/>
  <c r="S17" i="8"/>
  <c r="R17" i="8"/>
  <c r="Q17" i="8"/>
  <c r="P17" i="8"/>
  <c r="O17" i="8"/>
  <c r="N17" i="8"/>
  <c r="M17" i="8"/>
  <c r="V16" i="8"/>
  <c r="U16" i="8"/>
  <c r="T16" i="8"/>
  <c r="S16" i="8"/>
  <c r="R16" i="8"/>
  <c r="Q16" i="8"/>
  <c r="P16" i="8"/>
  <c r="O16" i="8"/>
  <c r="N16" i="8"/>
  <c r="M16" i="8"/>
  <c r="V15" i="8"/>
  <c r="U15" i="8"/>
  <c r="T15" i="8"/>
  <c r="S15" i="8"/>
  <c r="R15" i="8"/>
  <c r="Q15" i="8"/>
  <c r="P15" i="8"/>
  <c r="O15" i="8"/>
  <c r="N15" i="8"/>
  <c r="M15" i="8"/>
  <c r="V14" i="8"/>
  <c r="U14" i="8"/>
  <c r="T14" i="8"/>
  <c r="S14" i="8"/>
  <c r="R14" i="8"/>
  <c r="Q14" i="8"/>
  <c r="P14" i="8"/>
  <c r="O14" i="8"/>
  <c r="N14" i="8"/>
  <c r="M14" i="8"/>
  <c r="V13" i="8"/>
  <c r="U13" i="8"/>
  <c r="T13" i="8"/>
  <c r="S13" i="8"/>
  <c r="R13" i="8"/>
  <c r="Q13" i="8"/>
  <c r="P13" i="8"/>
  <c r="O13" i="8"/>
  <c r="N13" i="8"/>
  <c r="M13" i="8"/>
  <c r="V12" i="8"/>
  <c r="U12" i="8"/>
  <c r="T12" i="8"/>
  <c r="S12" i="8"/>
  <c r="R12" i="8"/>
  <c r="Q12" i="8"/>
  <c r="P12" i="8"/>
  <c r="O12" i="8"/>
  <c r="N12" i="8"/>
  <c r="M12" i="8"/>
  <c r="V11" i="8"/>
  <c r="U11" i="8"/>
  <c r="T11" i="8"/>
  <c r="S11" i="8"/>
  <c r="R11" i="8"/>
  <c r="Q11" i="8"/>
  <c r="P11" i="8"/>
  <c r="O11" i="8"/>
  <c r="N11" i="8"/>
  <c r="M11" i="8"/>
  <c r="V10" i="8"/>
  <c r="U10" i="8"/>
  <c r="T10" i="8"/>
  <c r="S10" i="8"/>
  <c r="R10" i="8"/>
  <c r="Q10" i="8"/>
  <c r="P10" i="8"/>
  <c r="O10" i="8"/>
  <c r="N10" i="8"/>
  <c r="M10" i="8"/>
  <c r="V9" i="8"/>
  <c r="U9" i="8"/>
  <c r="T9" i="8"/>
  <c r="S9" i="8"/>
  <c r="R9" i="8"/>
  <c r="Q9" i="8"/>
  <c r="P9" i="8"/>
  <c r="O9" i="8"/>
  <c r="N9" i="8"/>
  <c r="M9" i="8"/>
  <c r="V8" i="8"/>
  <c r="U8" i="8"/>
  <c r="T8" i="8"/>
  <c r="S8" i="8"/>
  <c r="R8" i="8"/>
  <c r="Q8" i="8"/>
  <c r="P8" i="8"/>
  <c r="O8" i="8"/>
  <c r="N8" i="8"/>
  <c r="M8" i="8"/>
  <c r="V7" i="8"/>
  <c r="U7" i="8"/>
  <c r="T7" i="8"/>
  <c r="S7" i="8"/>
  <c r="R7" i="8"/>
  <c r="Q7" i="8"/>
  <c r="P7" i="8"/>
  <c r="O7" i="8"/>
  <c r="N7" i="8"/>
  <c r="M7" i="8"/>
  <c r="V6" i="8"/>
  <c r="U6" i="8"/>
  <c r="T6" i="8"/>
  <c r="S6" i="8"/>
  <c r="R6" i="8"/>
  <c r="Q6" i="8"/>
  <c r="P6" i="8"/>
  <c r="O6" i="8"/>
  <c r="N6" i="8"/>
  <c r="M6" i="8"/>
  <c r="V5" i="8"/>
  <c r="U5" i="8"/>
  <c r="T5" i="8"/>
  <c r="S5" i="8"/>
  <c r="R5" i="8"/>
  <c r="Q5" i="8"/>
  <c r="P5" i="8"/>
  <c r="O5" i="8"/>
  <c r="N5" i="8"/>
  <c r="M5" i="8"/>
  <c r="V4" i="8"/>
  <c r="U4" i="8"/>
  <c r="T4" i="8"/>
  <c r="S4" i="8"/>
  <c r="R4" i="8"/>
  <c r="Q4" i="8"/>
  <c r="P4" i="8"/>
  <c r="O4" i="8"/>
  <c r="N4" i="8"/>
  <c r="M4" i="8"/>
  <c r="V19" i="7"/>
  <c r="U19" i="7"/>
  <c r="T19" i="7"/>
  <c r="S19" i="7"/>
  <c r="R19" i="7"/>
  <c r="Q19" i="7"/>
  <c r="P19" i="7"/>
  <c r="O19" i="7"/>
  <c r="N19" i="7"/>
  <c r="M19" i="7"/>
  <c r="V18" i="7"/>
  <c r="U18" i="7"/>
  <c r="T18" i="7"/>
  <c r="S18" i="7"/>
  <c r="R18" i="7"/>
  <c r="Q18" i="7"/>
  <c r="P18" i="7"/>
  <c r="O18" i="7"/>
  <c r="N18" i="7"/>
  <c r="M18" i="7"/>
  <c r="V17" i="7"/>
  <c r="U17" i="7"/>
  <c r="T17" i="7"/>
  <c r="S17" i="7"/>
  <c r="R17" i="7"/>
  <c r="Q17" i="7"/>
  <c r="P17" i="7"/>
  <c r="O17" i="7"/>
  <c r="N17" i="7"/>
  <c r="M17" i="7"/>
  <c r="V16" i="7"/>
  <c r="U16" i="7"/>
  <c r="T16" i="7"/>
  <c r="S16" i="7"/>
  <c r="R16" i="7"/>
  <c r="Q16" i="7"/>
  <c r="P16" i="7"/>
  <c r="O16" i="7"/>
  <c r="N16" i="7"/>
  <c r="M16" i="7"/>
  <c r="V15" i="7"/>
  <c r="U15" i="7"/>
  <c r="T15" i="7"/>
  <c r="S15" i="7"/>
  <c r="R15" i="7"/>
  <c r="Q15" i="7"/>
  <c r="P15" i="7"/>
  <c r="O15" i="7"/>
  <c r="N15" i="7"/>
  <c r="M15" i="7"/>
  <c r="V14" i="7"/>
  <c r="U14" i="7"/>
  <c r="T14" i="7"/>
  <c r="S14" i="7"/>
  <c r="R14" i="7"/>
  <c r="Q14" i="7"/>
  <c r="P14" i="7"/>
  <c r="O14" i="7"/>
  <c r="N14" i="7"/>
  <c r="M14" i="7"/>
  <c r="V13" i="7"/>
  <c r="U13" i="7"/>
  <c r="T13" i="7"/>
  <c r="S13" i="7"/>
  <c r="R13" i="7"/>
  <c r="Q13" i="7"/>
  <c r="P13" i="7"/>
  <c r="O13" i="7"/>
  <c r="N13" i="7"/>
  <c r="M13" i="7"/>
  <c r="V12" i="7"/>
  <c r="U12" i="7"/>
  <c r="T12" i="7"/>
  <c r="S12" i="7"/>
  <c r="R12" i="7"/>
  <c r="Q12" i="7"/>
  <c r="P12" i="7"/>
  <c r="O12" i="7"/>
  <c r="N12" i="7"/>
  <c r="M12" i="7"/>
  <c r="V11" i="7"/>
  <c r="U11" i="7"/>
  <c r="T11" i="7"/>
  <c r="S11" i="7"/>
  <c r="R11" i="7"/>
  <c r="Q11" i="7"/>
  <c r="P11" i="7"/>
  <c r="O11" i="7"/>
  <c r="N11" i="7"/>
  <c r="M11" i="7"/>
  <c r="V10" i="7"/>
  <c r="U10" i="7"/>
  <c r="T10" i="7"/>
  <c r="S10" i="7"/>
  <c r="R10" i="7"/>
  <c r="Q10" i="7"/>
  <c r="P10" i="7"/>
  <c r="O10" i="7"/>
  <c r="N10" i="7"/>
  <c r="M10" i="7"/>
  <c r="V9" i="7"/>
  <c r="U9" i="7"/>
  <c r="T9" i="7"/>
  <c r="S9" i="7"/>
  <c r="R9" i="7"/>
  <c r="Q9" i="7"/>
  <c r="P9" i="7"/>
  <c r="O9" i="7"/>
  <c r="N9" i="7"/>
  <c r="M9" i="7"/>
  <c r="V8" i="7"/>
  <c r="U8" i="7"/>
  <c r="T8" i="7"/>
  <c r="S8" i="7"/>
  <c r="R8" i="7"/>
  <c r="Q8" i="7"/>
  <c r="P8" i="7"/>
  <c r="O8" i="7"/>
  <c r="N8" i="7"/>
  <c r="M8" i="7"/>
  <c r="V7" i="7"/>
  <c r="U7" i="7"/>
  <c r="T7" i="7"/>
  <c r="S7" i="7"/>
  <c r="R7" i="7"/>
  <c r="Q7" i="7"/>
  <c r="P7" i="7"/>
  <c r="O7" i="7"/>
  <c r="N7" i="7"/>
  <c r="M7" i="7"/>
  <c r="V6" i="7"/>
  <c r="U6" i="7"/>
  <c r="T6" i="7"/>
  <c r="S6" i="7"/>
  <c r="R6" i="7"/>
  <c r="Q6" i="7"/>
  <c r="P6" i="7"/>
  <c r="O6" i="7"/>
  <c r="N6" i="7"/>
  <c r="M6" i="7"/>
  <c r="V5" i="7"/>
  <c r="U5" i="7"/>
  <c r="T5" i="7"/>
  <c r="S5" i="7"/>
  <c r="R5" i="7"/>
  <c r="Q5" i="7"/>
  <c r="P5" i="7"/>
  <c r="O5" i="7"/>
  <c r="N5" i="7"/>
  <c r="M5" i="7"/>
  <c r="V4" i="7"/>
  <c r="U4" i="7"/>
  <c r="T4" i="7"/>
  <c r="S4" i="7"/>
  <c r="R4" i="7"/>
  <c r="Q4" i="7"/>
  <c r="P4" i="7"/>
  <c r="O4" i="7"/>
  <c r="N4" i="7"/>
  <c r="M4" i="7"/>
  <c r="V19" i="6"/>
  <c r="U19" i="6"/>
  <c r="T19" i="6"/>
  <c r="S19" i="6"/>
  <c r="R19" i="6"/>
  <c r="Q19" i="6"/>
  <c r="P19" i="6"/>
  <c r="O19" i="6"/>
  <c r="N19" i="6"/>
  <c r="M19" i="6"/>
  <c r="V18" i="6"/>
  <c r="U18" i="6"/>
  <c r="T18" i="6"/>
  <c r="S18" i="6"/>
  <c r="R18" i="6"/>
  <c r="Q18" i="6"/>
  <c r="P18" i="6"/>
  <c r="O18" i="6"/>
  <c r="N18" i="6"/>
  <c r="M18" i="6"/>
  <c r="V17" i="6"/>
  <c r="U17" i="6"/>
  <c r="T17" i="6"/>
  <c r="S17" i="6"/>
  <c r="R17" i="6"/>
  <c r="Q17" i="6"/>
  <c r="P17" i="6"/>
  <c r="O17" i="6"/>
  <c r="N17" i="6"/>
  <c r="M17" i="6"/>
  <c r="V16" i="6"/>
  <c r="U16" i="6"/>
  <c r="T16" i="6"/>
  <c r="S16" i="6"/>
  <c r="R16" i="6"/>
  <c r="Q16" i="6"/>
  <c r="P16" i="6"/>
  <c r="O16" i="6"/>
  <c r="N16" i="6"/>
  <c r="M16" i="6"/>
  <c r="V15" i="6"/>
  <c r="U15" i="6"/>
  <c r="T15" i="6"/>
  <c r="S15" i="6"/>
  <c r="R15" i="6"/>
  <c r="Q15" i="6"/>
  <c r="P15" i="6"/>
  <c r="O15" i="6"/>
  <c r="N15" i="6"/>
  <c r="M15" i="6"/>
  <c r="V14" i="6"/>
  <c r="U14" i="6"/>
  <c r="T14" i="6"/>
  <c r="S14" i="6"/>
  <c r="R14" i="6"/>
  <c r="Q14" i="6"/>
  <c r="P14" i="6"/>
  <c r="O14" i="6"/>
  <c r="N14" i="6"/>
  <c r="M14" i="6"/>
  <c r="V13" i="6"/>
  <c r="U13" i="6"/>
  <c r="T13" i="6"/>
  <c r="S13" i="6"/>
  <c r="R13" i="6"/>
  <c r="Q13" i="6"/>
  <c r="P13" i="6"/>
  <c r="O13" i="6"/>
  <c r="N13" i="6"/>
  <c r="M13" i="6"/>
  <c r="V12" i="6"/>
  <c r="U12" i="6"/>
  <c r="T12" i="6"/>
  <c r="S12" i="6"/>
  <c r="R12" i="6"/>
  <c r="Q12" i="6"/>
  <c r="P12" i="6"/>
  <c r="O12" i="6"/>
  <c r="N12" i="6"/>
  <c r="M12" i="6"/>
  <c r="V11" i="6"/>
  <c r="U11" i="6"/>
  <c r="T11" i="6"/>
  <c r="S11" i="6"/>
  <c r="R11" i="6"/>
  <c r="Q11" i="6"/>
  <c r="P11" i="6"/>
  <c r="O11" i="6"/>
  <c r="N11" i="6"/>
  <c r="M11" i="6"/>
  <c r="V10" i="6"/>
  <c r="U10" i="6"/>
  <c r="T10" i="6"/>
  <c r="S10" i="6"/>
  <c r="R10" i="6"/>
  <c r="Q10" i="6"/>
  <c r="P10" i="6"/>
  <c r="O10" i="6"/>
  <c r="N10" i="6"/>
  <c r="M10" i="6"/>
  <c r="V9" i="6"/>
  <c r="U9" i="6"/>
  <c r="T9" i="6"/>
  <c r="S9" i="6"/>
  <c r="R9" i="6"/>
  <c r="Q9" i="6"/>
  <c r="P9" i="6"/>
  <c r="O9" i="6"/>
  <c r="N9" i="6"/>
  <c r="M9" i="6"/>
  <c r="V8" i="6"/>
  <c r="U8" i="6"/>
  <c r="T8" i="6"/>
  <c r="S8" i="6"/>
  <c r="R8" i="6"/>
  <c r="Q8" i="6"/>
  <c r="P8" i="6"/>
  <c r="O8" i="6"/>
  <c r="N8" i="6"/>
  <c r="M8" i="6"/>
  <c r="V7" i="6"/>
  <c r="U7" i="6"/>
  <c r="T7" i="6"/>
  <c r="S7" i="6"/>
  <c r="R7" i="6"/>
  <c r="Q7" i="6"/>
  <c r="P7" i="6"/>
  <c r="O7" i="6"/>
  <c r="N7" i="6"/>
  <c r="M7" i="6"/>
  <c r="V6" i="6"/>
  <c r="U6" i="6"/>
  <c r="T6" i="6"/>
  <c r="S6" i="6"/>
  <c r="R6" i="6"/>
  <c r="Q6" i="6"/>
  <c r="P6" i="6"/>
  <c r="O6" i="6"/>
  <c r="N6" i="6"/>
  <c r="M6" i="6"/>
  <c r="V5" i="6"/>
  <c r="U5" i="6"/>
  <c r="T5" i="6"/>
  <c r="S5" i="6"/>
  <c r="R5" i="6"/>
  <c r="Q5" i="6"/>
  <c r="P5" i="6"/>
  <c r="O5" i="6"/>
  <c r="N5" i="6"/>
  <c r="M5" i="6"/>
  <c r="V4" i="6"/>
  <c r="U4" i="6"/>
  <c r="T4" i="6"/>
  <c r="S4" i="6"/>
  <c r="R4" i="6"/>
  <c r="Q4" i="6"/>
  <c r="P4" i="6"/>
  <c r="O4" i="6"/>
  <c r="N4" i="6"/>
  <c r="M4" i="6"/>
  <c r="V19" i="5"/>
  <c r="U19" i="5"/>
  <c r="T19" i="5"/>
  <c r="S19" i="5"/>
  <c r="R19" i="5"/>
  <c r="Q19" i="5"/>
  <c r="P19" i="5"/>
  <c r="O19" i="5"/>
  <c r="N19" i="5"/>
  <c r="M19" i="5"/>
  <c r="V18" i="5"/>
  <c r="U18" i="5"/>
  <c r="T18" i="5"/>
  <c r="S18" i="5"/>
  <c r="R18" i="5"/>
  <c r="Q18" i="5"/>
  <c r="P18" i="5"/>
  <c r="O18" i="5"/>
  <c r="N18" i="5"/>
  <c r="M18" i="5"/>
  <c r="V17" i="5"/>
  <c r="U17" i="5"/>
  <c r="T17" i="5"/>
  <c r="S17" i="5"/>
  <c r="R17" i="5"/>
  <c r="Q17" i="5"/>
  <c r="P17" i="5"/>
  <c r="O17" i="5"/>
  <c r="N17" i="5"/>
  <c r="M17" i="5"/>
  <c r="V16" i="5"/>
  <c r="U16" i="5"/>
  <c r="T16" i="5"/>
  <c r="S16" i="5"/>
  <c r="R16" i="5"/>
  <c r="Q16" i="5"/>
  <c r="P16" i="5"/>
  <c r="O16" i="5"/>
  <c r="N16" i="5"/>
  <c r="M16" i="5"/>
  <c r="V15" i="5"/>
  <c r="U15" i="5"/>
  <c r="T15" i="5"/>
  <c r="S15" i="5"/>
  <c r="R15" i="5"/>
  <c r="Q15" i="5"/>
  <c r="P15" i="5"/>
  <c r="O15" i="5"/>
  <c r="N15" i="5"/>
  <c r="M15" i="5"/>
  <c r="V14" i="5"/>
  <c r="U14" i="5"/>
  <c r="T14" i="5"/>
  <c r="S14" i="5"/>
  <c r="R14" i="5"/>
  <c r="Q14" i="5"/>
  <c r="P14" i="5"/>
  <c r="O14" i="5"/>
  <c r="N14" i="5"/>
  <c r="M14" i="5"/>
  <c r="V13" i="5"/>
  <c r="U13" i="5"/>
  <c r="T13" i="5"/>
  <c r="S13" i="5"/>
  <c r="R13" i="5"/>
  <c r="Q13" i="5"/>
  <c r="P13" i="5"/>
  <c r="O13" i="5"/>
  <c r="N13" i="5"/>
  <c r="M13" i="5"/>
  <c r="V12" i="5"/>
  <c r="U12" i="5"/>
  <c r="T12" i="5"/>
  <c r="S12" i="5"/>
  <c r="R12" i="5"/>
  <c r="Q12" i="5"/>
  <c r="P12" i="5"/>
  <c r="O12" i="5"/>
  <c r="N12" i="5"/>
  <c r="M12" i="5"/>
  <c r="V11" i="5"/>
  <c r="U11" i="5"/>
  <c r="T11" i="5"/>
  <c r="S11" i="5"/>
  <c r="R11" i="5"/>
  <c r="Q11" i="5"/>
  <c r="P11" i="5"/>
  <c r="O11" i="5"/>
  <c r="N11" i="5"/>
  <c r="M11" i="5"/>
  <c r="V10" i="5"/>
  <c r="U10" i="5"/>
  <c r="T10" i="5"/>
  <c r="S10" i="5"/>
  <c r="R10" i="5"/>
  <c r="Q10" i="5"/>
  <c r="P10" i="5"/>
  <c r="O10" i="5"/>
  <c r="N10" i="5"/>
  <c r="M10" i="5"/>
  <c r="V9" i="5"/>
  <c r="U9" i="5"/>
  <c r="T9" i="5"/>
  <c r="S9" i="5"/>
  <c r="R9" i="5"/>
  <c r="Q9" i="5"/>
  <c r="P9" i="5"/>
  <c r="O9" i="5"/>
  <c r="N9" i="5"/>
  <c r="M9" i="5"/>
  <c r="V8" i="5"/>
  <c r="U8" i="5"/>
  <c r="T8" i="5"/>
  <c r="S8" i="5"/>
  <c r="R8" i="5"/>
  <c r="Q8" i="5"/>
  <c r="P8" i="5"/>
  <c r="O8" i="5"/>
  <c r="N8" i="5"/>
  <c r="M8" i="5"/>
  <c r="V7" i="5"/>
  <c r="U7" i="5"/>
  <c r="T7" i="5"/>
  <c r="S7" i="5"/>
  <c r="R7" i="5"/>
  <c r="Q7" i="5"/>
  <c r="P7" i="5"/>
  <c r="O7" i="5"/>
  <c r="N7" i="5"/>
  <c r="M7" i="5"/>
  <c r="V6" i="5"/>
  <c r="U6" i="5"/>
  <c r="T6" i="5"/>
  <c r="S6" i="5"/>
  <c r="R6" i="5"/>
  <c r="Q6" i="5"/>
  <c r="P6" i="5"/>
  <c r="O6" i="5"/>
  <c r="N6" i="5"/>
  <c r="M6" i="5"/>
  <c r="V5" i="5"/>
  <c r="U5" i="5"/>
  <c r="T5" i="5"/>
  <c r="S5" i="5"/>
  <c r="R5" i="5"/>
  <c r="Q5" i="5"/>
  <c r="P5" i="5"/>
  <c r="O5" i="5"/>
  <c r="N5" i="5"/>
  <c r="M5" i="5"/>
  <c r="V4" i="5"/>
  <c r="U4" i="5"/>
  <c r="T4" i="5"/>
  <c r="S4" i="5"/>
  <c r="R4" i="5"/>
  <c r="Q4" i="5"/>
  <c r="P4" i="5"/>
  <c r="O4" i="5"/>
  <c r="N4" i="5"/>
  <c r="M4" i="5"/>
  <c r="V19" i="4"/>
  <c r="U19" i="4"/>
  <c r="T19" i="4"/>
  <c r="S19" i="4"/>
  <c r="R19" i="4"/>
  <c r="Q19" i="4"/>
  <c r="P19" i="4"/>
  <c r="O19" i="4"/>
  <c r="N19" i="4"/>
  <c r="M19" i="4"/>
  <c r="V18" i="4"/>
  <c r="U18" i="4"/>
  <c r="T18" i="4"/>
  <c r="S18" i="4"/>
  <c r="R18" i="4"/>
  <c r="Q18" i="4"/>
  <c r="P18" i="4"/>
  <c r="O18" i="4"/>
  <c r="N18" i="4"/>
  <c r="M18" i="4"/>
  <c r="V17" i="4"/>
  <c r="U17" i="4"/>
  <c r="T17" i="4"/>
  <c r="S17" i="4"/>
  <c r="R17" i="4"/>
  <c r="Q17" i="4"/>
  <c r="P17" i="4"/>
  <c r="O17" i="4"/>
  <c r="N17" i="4"/>
  <c r="M17" i="4"/>
  <c r="V16" i="4"/>
  <c r="U16" i="4"/>
  <c r="T16" i="4"/>
  <c r="S16" i="4"/>
  <c r="R16" i="4"/>
  <c r="Q16" i="4"/>
  <c r="P16" i="4"/>
  <c r="O16" i="4"/>
  <c r="N16" i="4"/>
  <c r="M16" i="4"/>
  <c r="V15" i="4"/>
  <c r="U15" i="4"/>
  <c r="T15" i="4"/>
  <c r="S15" i="4"/>
  <c r="R15" i="4"/>
  <c r="Q15" i="4"/>
  <c r="P15" i="4"/>
  <c r="O15" i="4"/>
  <c r="N15" i="4"/>
  <c r="M15" i="4"/>
  <c r="V14" i="4"/>
  <c r="U14" i="4"/>
  <c r="T14" i="4"/>
  <c r="S14" i="4"/>
  <c r="R14" i="4"/>
  <c r="Q14" i="4"/>
  <c r="P14" i="4"/>
  <c r="O14" i="4"/>
  <c r="N14" i="4"/>
  <c r="M14" i="4"/>
  <c r="V13" i="4"/>
  <c r="U13" i="4"/>
  <c r="T13" i="4"/>
  <c r="S13" i="4"/>
  <c r="R13" i="4"/>
  <c r="Q13" i="4"/>
  <c r="P13" i="4"/>
  <c r="O13" i="4"/>
  <c r="N13" i="4"/>
  <c r="M13" i="4"/>
  <c r="V12" i="4"/>
  <c r="U12" i="4"/>
  <c r="T12" i="4"/>
  <c r="S12" i="4"/>
  <c r="R12" i="4"/>
  <c r="Q12" i="4"/>
  <c r="P12" i="4"/>
  <c r="O12" i="4"/>
  <c r="N12" i="4"/>
  <c r="M12" i="4"/>
  <c r="V11" i="4"/>
  <c r="U11" i="4"/>
  <c r="T11" i="4"/>
  <c r="S11" i="4"/>
  <c r="R11" i="4"/>
  <c r="Q11" i="4"/>
  <c r="P11" i="4"/>
  <c r="O11" i="4"/>
  <c r="N11" i="4"/>
  <c r="M11" i="4"/>
  <c r="V10" i="4"/>
  <c r="U10" i="4"/>
  <c r="T10" i="4"/>
  <c r="S10" i="4"/>
  <c r="R10" i="4"/>
  <c r="Q10" i="4"/>
  <c r="P10" i="4"/>
  <c r="O10" i="4"/>
  <c r="N10" i="4"/>
  <c r="M10" i="4"/>
  <c r="V9" i="4"/>
  <c r="U9" i="4"/>
  <c r="T9" i="4"/>
  <c r="S9" i="4"/>
  <c r="R9" i="4"/>
  <c r="Q9" i="4"/>
  <c r="P9" i="4"/>
  <c r="O9" i="4"/>
  <c r="N9" i="4"/>
  <c r="M9" i="4"/>
  <c r="V8" i="4"/>
  <c r="U8" i="4"/>
  <c r="T8" i="4"/>
  <c r="S8" i="4"/>
  <c r="R8" i="4"/>
  <c r="Q8" i="4"/>
  <c r="P8" i="4"/>
  <c r="O8" i="4"/>
  <c r="N8" i="4"/>
  <c r="M8" i="4"/>
  <c r="V7" i="4"/>
  <c r="U7" i="4"/>
  <c r="T7" i="4"/>
  <c r="S7" i="4"/>
  <c r="R7" i="4"/>
  <c r="Q7" i="4"/>
  <c r="P7" i="4"/>
  <c r="O7" i="4"/>
  <c r="N7" i="4"/>
  <c r="M7" i="4"/>
  <c r="V6" i="4"/>
  <c r="U6" i="4"/>
  <c r="T6" i="4"/>
  <c r="S6" i="4"/>
  <c r="R6" i="4"/>
  <c r="Q6" i="4"/>
  <c r="P6" i="4"/>
  <c r="O6" i="4"/>
  <c r="N6" i="4"/>
  <c r="M6" i="4"/>
  <c r="V5" i="4"/>
  <c r="U5" i="4"/>
  <c r="T5" i="4"/>
  <c r="S5" i="4"/>
  <c r="R5" i="4"/>
  <c r="Q5" i="4"/>
  <c r="P5" i="4"/>
  <c r="O5" i="4"/>
  <c r="N5" i="4"/>
  <c r="M5" i="4"/>
  <c r="V4" i="4"/>
  <c r="U4" i="4"/>
  <c r="T4" i="4"/>
  <c r="S4" i="4"/>
  <c r="R4" i="4"/>
  <c r="Q4" i="4"/>
  <c r="P4" i="4"/>
  <c r="O4" i="4"/>
  <c r="N4" i="4"/>
  <c r="M4" i="4"/>
  <c r="V19" i="3"/>
  <c r="U19" i="3"/>
  <c r="T19" i="3"/>
  <c r="S19" i="3"/>
  <c r="R19" i="3"/>
  <c r="Q19" i="3"/>
  <c r="P19" i="3"/>
  <c r="O19" i="3"/>
  <c r="N19" i="3"/>
  <c r="M19" i="3"/>
  <c r="V18" i="3"/>
  <c r="U18" i="3"/>
  <c r="T18" i="3"/>
  <c r="S18" i="3"/>
  <c r="R18" i="3"/>
  <c r="Q18" i="3"/>
  <c r="P18" i="3"/>
  <c r="O18" i="3"/>
  <c r="N18" i="3"/>
  <c r="M18" i="3"/>
  <c r="V17" i="3"/>
  <c r="U17" i="3"/>
  <c r="T17" i="3"/>
  <c r="S17" i="3"/>
  <c r="R17" i="3"/>
  <c r="Q17" i="3"/>
  <c r="P17" i="3"/>
  <c r="O17" i="3"/>
  <c r="N17" i="3"/>
  <c r="M17" i="3"/>
  <c r="V16" i="3"/>
  <c r="U16" i="3"/>
  <c r="T16" i="3"/>
  <c r="S16" i="3"/>
  <c r="R16" i="3"/>
  <c r="Q16" i="3"/>
  <c r="P16" i="3"/>
  <c r="O16" i="3"/>
  <c r="N16" i="3"/>
  <c r="M16" i="3"/>
  <c r="V15" i="3"/>
  <c r="U15" i="3"/>
  <c r="T15" i="3"/>
  <c r="S15" i="3"/>
  <c r="R15" i="3"/>
  <c r="Q15" i="3"/>
  <c r="P15" i="3"/>
  <c r="O15" i="3"/>
  <c r="N15" i="3"/>
  <c r="M15" i="3"/>
  <c r="V14" i="3"/>
  <c r="U14" i="3"/>
  <c r="T14" i="3"/>
  <c r="S14" i="3"/>
  <c r="R14" i="3"/>
  <c r="Q14" i="3"/>
  <c r="P14" i="3"/>
  <c r="O14" i="3"/>
  <c r="N14" i="3"/>
  <c r="M14" i="3"/>
  <c r="V13" i="3"/>
  <c r="U13" i="3"/>
  <c r="T13" i="3"/>
  <c r="S13" i="3"/>
  <c r="R13" i="3"/>
  <c r="Q13" i="3"/>
  <c r="P13" i="3"/>
  <c r="O13" i="3"/>
  <c r="N13" i="3"/>
  <c r="M13" i="3"/>
  <c r="V12" i="3"/>
  <c r="U12" i="3"/>
  <c r="T12" i="3"/>
  <c r="S12" i="3"/>
  <c r="R12" i="3"/>
  <c r="Q12" i="3"/>
  <c r="P12" i="3"/>
  <c r="O12" i="3"/>
  <c r="N12" i="3"/>
  <c r="M12" i="3"/>
  <c r="V11" i="3"/>
  <c r="U11" i="3"/>
  <c r="T11" i="3"/>
  <c r="S11" i="3"/>
  <c r="R11" i="3"/>
  <c r="Q11" i="3"/>
  <c r="P11" i="3"/>
  <c r="O11" i="3"/>
  <c r="N11" i="3"/>
  <c r="M11" i="3"/>
  <c r="V10" i="3"/>
  <c r="U10" i="3"/>
  <c r="T10" i="3"/>
  <c r="S10" i="3"/>
  <c r="R10" i="3"/>
  <c r="Q10" i="3"/>
  <c r="P10" i="3"/>
  <c r="O10" i="3"/>
  <c r="N10" i="3"/>
  <c r="M10" i="3"/>
  <c r="V9" i="3"/>
  <c r="U9" i="3"/>
  <c r="T9" i="3"/>
  <c r="S9" i="3"/>
  <c r="R9" i="3"/>
  <c r="Q9" i="3"/>
  <c r="P9" i="3"/>
  <c r="O9" i="3"/>
  <c r="N9" i="3"/>
  <c r="M9" i="3"/>
  <c r="V8" i="3"/>
  <c r="U8" i="3"/>
  <c r="T8" i="3"/>
  <c r="S8" i="3"/>
  <c r="R8" i="3"/>
  <c r="Q8" i="3"/>
  <c r="P8" i="3"/>
  <c r="O8" i="3"/>
  <c r="N8" i="3"/>
  <c r="M8" i="3"/>
  <c r="V7" i="3"/>
  <c r="U7" i="3"/>
  <c r="T7" i="3"/>
  <c r="S7" i="3"/>
  <c r="R7" i="3"/>
  <c r="Q7" i="3"/>
  <c r="P7" i="3"/>
  <c r="O7" i="3"/>
  <c r="N7" i="3"/>
  <c r="M7" i="3"/>
  <c r="V6" i="3"/>
  <c r="U6" i="3"/>
  <c r="T6" i="3"/>
  <c r="S6" i="3"/>
  <c r="R6" i="3"/>
  <c r="Q6" i="3"/>
  <c r="P6" i="3"/>
  <c r="O6" i="3"/>
  <c r="N6" i="3"/>
  <c r="M6" i="3"/>
  <c r="V5" i="3"/>
  <c r="U5" i="3"/>
  <c r="T5" i="3"/>
  <c r="S5" i="3"/>
  <c r="R5" i="3"/>
  <c r="Q5" i="3"/>
  <c r="P5" i="3"/>
  <c r="O5" i="3"/>
  <c r="N5" i="3"/>
  <c r="M5" i="3"/>
  <c r="V4" i="3"/>
  <c r="U4" i="3"/>
  <c r="T4" i="3"/>
  <c r="S4" i="3"/>
  <c r="R4" i="3"/>
  <c r="Q4" i="3"/>
  <c r="P4" i="3"/>
  <c r="O4" i="3"/>
  <c r="N4" i="3"/>
  <c r="M4" i="3"/>
  <c r="V19" i="2"/>
  <c r="U19" i="2"/>
  <c r="T19" i="2"/>
  <c r="S19" i="2"/>
  <c r="R19" i="2"/>
  <c r="Q19" i="2"/>
  <c r="P19" i="2"/>
  <c r="O19" i="2"/>
  <c r="N19" i="2"/>
  <c r="M19" i="2"/>
  <c r="V18" i="2"/>
  <c r="U18" i="2"/>
  <c r="T18" i="2"/>
  <c r="S18" i="2"/>
  <c r="R18" i="2"/>
  <c r="Q18" i="2"/>
  <c r="P18" i="2"/>
  <c r="O18" i="2"/>
  <c r="N18" i="2"/>
  <c r="M18" i="2"/>
  <c r="V17" i="2"/>
  <c r="U17" i="2"/>
  <c r="T17" i="2"/>
  <c r="S17" i="2"/>
  <c r="R17" i="2"/>
  <c r="Q17" i="2"/>
  <c r="P17" i="2"/>
  <c r="O17" i="2"/>
  <c r="N17" i="2"/>
  <c r="M17" i="2"/>
  <c r="V16" i="2"/>
  <c r="U16" i="2"/>
  <c r="T16" i="2"/>
  <c r="S16" i="2"/>
  <c r="R16" i="2"/>
  <c r="Q16" i="2"/>
  <c r="P16" i="2"/>
  <c r="O16" i="2"/>
  <c r="N16" i="2"/>
  <c r="M16" i="2"/>
  <c r="V15" i="2"/>
  <c r="U15" i="2"/>
  <c r="T15" i="2"/>
  <c r="S15" i="2"/>
  <c r="R15" i="2"/>
  <c r="Q15" i="2"/>
  <c r="P15" i="2"/>
  <c r="O15" i="2"/>
  <c r="N15" i="2"/>
  <c r="M15" i="2"/>
  <c r="V14" i="2"/>
  <c r="U14" i="2"/>
  <c r="T14" i="2"/>
  <c r="S14" i="2"/>
  <c r="R14" i="2"/>
  <c r="Q14" i="2"/>
  <c r="P14" i="2"/>
  <c r="O14" i="2"/>
  <c r="N14" i="2"/>
  <c r="M14" i="2"/>
  <c r="V13" i="2"/>
  <c r="U13" i="2"/>
  <c r="T13" i="2"/>
  <c r="S13" i="2"/>
  <c r="R13" i="2"/>
  <c r="Q13" i="2"/>
  <c r="P13" i="2"/>
  <c r="O13" i="2"/>
  <c r="N13" i="2"/>
  <c r="M13" i="2"/>
  <c r="V12" i="2"/>
  <c r="U12" i="2"/>
  <c r="T12" i="2"/>
  <c r="S12" i="2"/>
  <c r="R12" i="2"/>
  <c r="Q12" i="2"/>
  <c r="P12" i="2"/>
  <c r="O12" i="2"/>
  <c r="N12" i="2"/>
  <c r="M12" i="2"/>
  <c r="V11" i="2"/>
  <c r="U11" i="2"/>
  <c r="T11" i="2"/>
  <c r="S11" i="2"/>
  <c r="R11" i="2"/>
  <c r="Q11" i="2"/>
  <c r="P11" i="2"/>
  <c r="O11" i="2"/>
  <c r="N11" i="2"/>
  <c r="M11" i="2"/>
  <c r="V10" i="2"/>
  <c r="U10" i="2"/>
  <c r="T10" i="2"/>
  <c r="S10" i="2"/>
  <c r="R10" i="2"/>
  <c r="Q10" i="2"/>
  <c r="P10" i="2"/>
  <c r="O10" i="2"/>
  <c r="N10" i="2"/>
  <c r="M10" i="2"/>
  <c r="V9" i="2"/>
  <c r="U9" i="2"/>
  <c r="T9" i="2"/>
  <c r="S9" i="2"/>
  <c r="R9" i="2"/>
  <c r="Q9" i="2"/>
  <c r="P9" i="2"/>
  <c r="O9" i="2"/>
  <c r="N9" i="2"/>
  <c r="M9" i="2"/>
  <c r="V8" i="2"/>
  <c r="U8" i="2"/>
  <c r="T8" i="2"/>
  <c r="S8" i="2"/>
  <c r="R8" i="2"/>
  <c r="Q8" i="2"/>
  <c r="P8" i="2"/>
  <c r="O8" i="2"/>
  <c r="N8" i="2"/>
  <c r="M8" i="2"/>
  <c r="V7" i="2"/>
  <c r="U7" i="2"/>
  <c r="T7" i="2"/>
  <c r="S7" i="2"/>
  <c r="R7" i="2"/>
  <c r="Q7" i="2"/>
  <c r="P7" i="2"/>
  <c r="O7" i="2"/>
  <c r="N7" i="2"/>
  <c r="M7" i="2"/>
  <c r="V6" i="2"/>
  <c r="U6" i="2"/>
  <c r="T6" i="2"/>
  <c r="S6" i="2"/>
  <c r="R6" i="2"/>
  <c r="Q6" i="2"/>
  <c r="P6" i="2"/>
  <c r="O6" i="2"/>
  <c r="N6" i="2"/>
  <c r="M6" i="2"/>
  <c r="V5" i="2"/>
  <c r="U5" i="2"/>
  <c r="T5" i="2"/>
  <c r="S5" i="2"/>
  <c r="R5" i="2"/>
  <c r="Q5" i="2"/>
  <c r="P5" i="2"/>
  <c r="O5" i="2"/>
  <c r="N5" i="2"/>
  <c r="M5" i="2"/>
  <c r="V4" i="2"/>
  <c r="U4" i="2"/>
  <c r="T4" i="2"/>
  <c r="S4" i="2"/>
  <c r="R4" i="2"/>
  <c r="Q4" i="2"/>
  <c r="P4" i="2"/>
  <c r="O4" i="2"/>
  <c r="N4" i="2"/>
  <c r="M4" i="2"/>
</calcChain>
</file>

<file path=xl/sharedStrings.xml><?xml version="1.0" encoding="utf-8"?>
<sst xmlns="http://schemas.openxmlformats.org/spreadsheetml/2006/main" count="588" uniqueCount="57">
  <si>
    <t>Matrice Aerodynamique 3D — Aile ACCWing / Windelo (v3, recalee NeuralFoil+LLT)</t>
  </si>
  <si>
    <t>Reference</t>
  </si>
  <si>
    <t>Sref = 116 m2   AR = 4.05   e = 0.85</t>
  </si>
  <si>
    <t>Sources</t>
  </si>
  <si>
    <t>Ancres 3D : ligne portante non-lineaire (cam 6/8/12). Forme post-decrochage et cambrure 13-15% : NeuralFoil 2D-&gt;3D.</t>
  </si>
  <si>
    <t>Clmax 3D</t>
  </si>
  <si>
    <t>cam0~1.42, cam6~1.65, cam8~1.78, cam12~1.91, cam15~2.00 (plafond 2.00)</t>
  </si>
  <si>
    <t>Decrochage</t>
  </si>
  <si>
    <t>doux (plateau), AOA_stall ~17-18deg (cambre) a 25deg (symetrique) — confirme par NeuralFoil</t>
  </si>
  <si>
    <t>Finesse au pres</t>
  </si>
  <si>
    <t>cam6 : L/D~35 a 5deg, ~22 a 10deg (coherent Fluent)</t>
  </si>
  <si>
    <t>Facteur echelle portance</t>
  </si>
  <si>
    <t>1.00 = borne haute | 0.77 = borne SST. Ajuster selon run 3D a 5deg (CL&gt;=0.33 -&gt; 1.00).</t>
  </si>
  <si>
    <t>MAJ v3 :</t>
  </si>
  <si>
    <t>- Clmax releve (2.00 a 15%, plateau doux) apres validation NeuralFoil : le decrochage de ce profil epais est etale, pas brutal.</t>
  </si>
  <si>
    <t>- Cambrure 13-15% desormais ancree (NeuralFoil) au lieu d'extrapolee.</t>
  </si>
  <si>
    <t>- Finesse au pres recalee sur la ligne portante (L/D~22-35), coherente Fluent.</t>
  </si>
  <si>
    <t>- A confirmer par ta simulation 2D a 15% en cours (remplacera l'ancrage NeuralFoil).</t>
  </si>
  <si>
    <t>Cl et Cd — AWS=5kt   Re=8.29e+05   Sref=116 AR=4.05   (Cd_fric x1.552)</t>
  </si>
  <si>
    <t>Cl</t>
  </si>
  <si>
    <t>Cd</t>
  </si>
  <si>
    <t>Cam</t>
  </si>
  <si>
    <t>0°</t>
  </si>
  <si>
    <t>5°</t>
  </si>
  <si>
    <t>10°</t>
  </si>
  <si>
    <t>15°</t>
  </si>
  <si>
    <t>20°</t>
  </si>
  <si>
    <t>25°</t>
  </si>
  <si>
    <t>30°</t>
  </si>
  <si>
    <t>35°</t>
  </si>
  <si>
    <t>40°</t>
  </si>
  <si>
    <t>45°</t>
  </si>
  <si>
    <t>0%</t>
  </si>
  <si>
    <t>1%</t>
  </si>
  <si>
    <t>2%</t>
  </si>
  <si>
    <t>3%</t>
  </si>
  <si>
    <t>4%</t>
  </si>
  <si>
    <t>5%</t>
  </si>
  <si>
    <t>6%</t>
  </si>
  <si>
    <t>7%</t>
  </si>
  <si>
    <t>8%</t>
  </si>
  <si>
    <t>9%</t>
  </si>
  <si>
    <t>10%</t>
  </si>
  <si>
    <t>11%</t>
  </si>
  <si>
    <t>12%</t>
  </si>
  <si>
    <t>13%</t>
  </si>
  <si>
    <t>14%</t>
  </si>
  <si>
    <t>15%</t>
  </si>
  <si>
    <t>Cl et Cd — AWS=10kt   Re=1.66e+06   Sref=116 AR=4.05   (Cd_fric x1.351)</t>
  </si>
  <si>
    <t>Cl et Cd — AWS=15kt   Re=2.49e+06   Sref=116 AR=4.05   (Cd_fric x1.246)</t>
  </si>
  <si>
    <t>Cl et Cd — AWS=20kt   Re=3.32e+06   Sref=116 AR=4.05   (Cd_fric x1.176)</t>
  </si>
  <si>
    <t>Cl et Cd — AWS=25kt   Re=4.14e+06   Sref=116 AR=4.05   (Cd_fric x1.125)</t>
  </si>
  <si>
    <t>Cl et Cd — AWS=30kt   Re=4.97e+06   Sref=116 AR=4.05   (Cd_fric x1.084)</t>
  </si>
  <si>
    <t>Cl et Cd — AWS=35kt   Re=5.80e+06   Sref=116 AR=4.05   (Cd_fric x1.052)</t>
  </si>
  <si>
    <t>Cl et Cd — AWS=40kt   Re=6.63e+06   Sref=116 AR=4.05   (Cd_fric x1.024)</t>
  </si>
  <si>
    <t>Cl et Cd — AWS=45kt   Re=7.46e+06   Sref=116 AR=4.05   (Cd_fric x1.000)</t>
  </si>
  <si>
    <t>Cl et Cd — AWS=50kt   Re=8.29e+06   Sref=116 AR=4.05   (Cd_fric x0.979)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</si>
</sst>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12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b/>
      <sz val="9"/>
      <color rgb="FF212529"/>
      <name val="Calibri"/>
      <charset val="1"/>
    </font>
    <font>
      <sz val="9"/>
      <color rgb="FF212529"/>
      <name val="Calibri"/>
      <charset val="1"/>
    </font>
    <font>
      <sz val="11"/>
      <color rgb="FF0000FF"/>
      <name val="Arial"/>
      <charset val="1"/>
    </font>
    <font>
      <b/>
      <sz val="9"/>
      <color rgb="FFFFFFFF"/>
      <name val="Calibri"/>
      <charset val="1"/>
    </font>
    <font>
      <b/>
      <sz val="10"/>
      <color rgb="FFFFFFFF"/>
      <name val="Calibri"/>
      <charset val="1"/>
    </font>
    <font>
      <b/>
      <sz val="11"/>
      <color rgb="FFFFFFFF"/>
      <name val="Arial"/>
      <charset val="1"/>
    </font>
    <font>
      <b/>
      <sz val="8"/>
      <color rgb="FFFFFFFF"/>
      <name val="Calibri"/>
      <charset val="1"/>
    </font>
    <font>
      <sz val="8"/>
      <color rgb="FF212529"/>
      <name val="Calibri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F2F2F2"/>
        <bgColor rgb="FFF5F5F5"/>
      </patternFill>
    </fill>
    <fill>
      <patternFill patternType="solid">
        <fgColor rgb="FFFFFFFF"/>
        <bgColor rgb="FFF5F5F5"/>
      </patternFill>
    </fill>
    <fill>
      <patternFill patternType="solid">
        <fgColor rgb="FFFFF2CC"/>
        <bgColor rgb="FFF2F2F2"/>
      </patternFill>
    </fill>
    <fill>
      <patternFill patternType="solid">
        <fgColor rgb="FF2F5496"/>
        <bgColor rgb="FF1F4E79"/>
      </patternFill>
    </fill>
    <fill>
      <patternFill patternType="solid">
        <fgColor rgb="FF4472C4"/>
        <bgColor rgb="FF607D8B"/>
      </patternFill>
    </fill>
    <fill>
      <patternFill patternType="solid">
        <fgColor rgb="FF1A5276"/>
        <bgColor rgb="FF1F4E79"/>
      </patternFill>
    </fill>
    <fill>
      <patternFill patternType="solid">
        <fgColor rgb="FF922B21"/>
        <bgColor rgb="FF800000"/>
      </patternFill>
    </fill>
    <fill>
      <patternFill patternType="solid">
        <fgColor rgb="FF065A82"/>
        <bgColor rgb="FF1A5276"/>
      </patternFill>
    </fill>
    <fill>
      <patternFill patternType="solid">
        <fgColor rgb="FFF5F5F5"/>
        <bgColor rgb="FFF2F2F2"/>
      </patternFill>
    </fill>
    <fill>
      <patternFill patternType="solid">
        <fgColor rgb="FFEEEEEE"/>
        <bgColor rgb="FFF2F2F2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/>
    <xf numFmtId="0" fontId="3" fillId="3" borderId="1" xfId="0" applyFont="1" applyFill="1" applyBorder="1" applyAlignment="1"/>
    <xf numFmtId="0" fontId="2" fillId="4" borderId="1" xfId="0" applyFont="1" applyFill="1" applyBorder="1" applyAlignment="1"/>
    <xf numFmtId="0" fontId="3" fillId="4" borderId="1" xfId="0" applyFont="1" applyFill="1" applyBorder="1" applyAlignment="1"/>
    <xf numFmtId="0" fontId="4" fillId="4" borderId="1" xfId="0" applyFont="1" applyFill="1" applyBorder="1" applyAlignment="1"/>
    <xf numFmtId="0" fontId="5" fillId="4" borderId="1" xfId="0" applyFont="1" applyFill="1" applyBorder="1" applyAlignment="1"/>
    <xf numFmtId="0" fontId="6" fillId="5" borderId="1" xfId="0" applyFont="1" applyFill="1" applyBorder="1" applyAlignment="1"/>
    <xf numFmtId="0" fontId="3" fillId="0" borderId="0" xfId="0" applyFont="1" applyAlignment="1"/>
    <xf numFmtId="0" fontId="2" fillId="0" borderId="0" xfId="0" applyFont="1" applyAlignment="1"/>
    <xf numFmtId="0" fontId="3" fillId="6" borderId="0" xfId="0" applyFont="1" applyFill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2" fontId="5" fillId="4" borderId="1" xfId="0" applyNumberFormat="1" applyFont="1" applyFill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10" borderId="0" xfId="0" applyFont="1" applyFill="1" applyAlignment="1"/>
    <xf numFmtId="0" fontId="3" fillId="6" borderId="1" xfId="0" applyFont="1" applyFill="1" applyBorder="1" applyAlignment="1">
      <alignment horizontal="center" vertical="center"/>
    </xf>
    <xf numFmtId="165" fontId="3" fillId="11" borderId="2" xfId="0" applyNumberFormat="1" applyFont="1" applyFill="1" applyBorder="1" applyAlignment="1">
      <alignment horizontal="center" vertical="center"/>
    </xf>
    <xf numFmtId="0" fontId="3" fillId="12" borderId="2" xfId="0" applyFont="1" applyFill="1" applyBorder="1" applyAlignment="1"/>
    <xf numFmtId="165" fontId="3" fillId="11" borderId="1" xfId="0" applyNumberFormat="1" applyFont="1" applyFill="1" applyBorder="1" applyAlignment="1">
      <alignment horizontal="center" vertical="center"/>
    </xf>
    <xf numFmtId="0" fontId="3" fillId="0" borderId="2" xfId="0" applyFont="1" applyBorder="1" applyAlignment="1"/>
    <xf numFmtId="0" fontId="7" fillId="6" borderId="0" xfId="0" applyFont="1" applyFill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1" fillId="11" borderId="0" xfId="0" applyFont="1" applyFill="1" applyAlignment="1"/>
    <xf numFmtId="165" fontId="11" fillId="11" borderId="0" xfId="0" applyNumberFormat="1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91E63"/>
      <rgbColor rgb="FF00FF00"/>
      <rgbColor rgb="FF0000FF"/>
      <rgbColor rgb="FFCDDC39"/>
      <rgbColor rgb="FFFF00FF"/>
      <rgbColor rgb="FF00FFFF"/>
      <rgbColor rgb="FF800000"/>
      <rgbColor rgb="FF008000"/>
      <rgbColor rgb="FF000080"/>
      <rgbColor rgb="FFF44336"/>
      <rgbColor rgb="FF800080"/>
      <rgbColor rgb="FF009688"/>
      <rgbColor rgb="FFCCCCCC"/>
      <rgbColor rgb="FF878787"/>
      <rgbColor rgb="FF9999FF"/>
      <rgbColor rgb="FF9C27B0"/>
      <rgbColor rgb="FFFFF2CC"/>
      <rgbColor rgb="FFEEEEEE"/>
      <rgbColor rgb="FF660066"/>
      <rgbColor rgb="FFFF5722"/>
      <rgbColor rgb="FF065A82"/>
      <rgbColor rgb="FFD9D9D9"/>
      <rgbColor rgb="FF000080"/>
      <rgbColor rgb="FFFF00FF"/>
      <rgbColor rgb="FFFFFF00"/>
      <rgbColor rgb="FF00FFFF"/>
      <rgbColor rgb="FF800080"/>
      <rgbColor rgb="FF800000"/>
      <rgbColor rgb="FF1A5276"/>
      <rgbColor rgb="FF0000FF"/>
      <rgbColor rgb="FF00BCD4"/>
      <rgbColor rgb="FFF2F2F2"/>
      <rgbColor rgb="FFF5F5F5"/>
      <rgbColor rgb="FFFFFF99"/>
      <rgbColor rgb="FF99CCFF"/>
      <rgbColor rgb="FFFF99CC"/>
      <rgbColor rgb="FFCC99FF"/>
      <rgbColor rgb="FFFFCC99"/>
      <rgbColor rgb="FF4472C4"/>
      <rgbColor rgb="FF2196F3"/>
      <rgbColor rgb="FF8BC34A"/>
      <rgbColor rgb="FFFFC107"/>
      <rgbColor rgb="FFFF9800"/>
      <rgbColor rgb="FFFF6F00"/>
      <rgbColor rgb="FF607D8B"/>
      <rgbColor rgb="FFB3B3B3"/>
      <rgbColor rgb="FF1F3864"/>
      <rgbColor rgb="FF4CAF50"/>
      <rgbColor rgb="FF003300"/>
      <rgbColor rgb="FF1F4E79"/>
      <rgbColor rgb="FF922B21"/>
      <rgbColor rgb="FF795548"/>
      <rgbColor rgb="FF2F5496"/>
      <rgbColor rgb="FF21252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Cl = f(AOA) — AWS=5kt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'AWS 5kt'!$B$23</c:f>
              <c:strCache>
                <c:ptCount val="1"/>
              </c:strCache>
            </c:strRef>
          </c:tx>
          <c:spPr>
            <a:ln w="1512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5kt'!$A$24:$A$69</c:f>
              <c:numCache>
                <c:formatCode>General</c:formatCode>
                <c:ptCount val="46"/>
              </c:numCache>
            </c:numRef>
          </c:cat>
          <c:val>
            <c:numRef>
              <c:f>'AWS 5kt'!$B$24:$B$69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182-4C8E-A5CC-BCA5ACCF19D1}"/>
            </c:ext>
          </c:extLst>
        </c:ser>
        <c:ser>
          <c:idx val="1"/>
          <c:order val="1"/>
          <c:tx>
            <c:strRef>
              <c:f>'AWS 5kt'!$C$23</c:f>
              <c:strCache>
                <c:ptCount val="1"/>
              </c:strCache>
            </c:strRef>
          </c:tx>
          <c:spPr>
            <a:ln w="15120">
              <a:solidFill>
                <a:srgbClr val="2196F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5kt'!$A$24:$A$69</c:f>
              <c:numCache>
                <c:formatCode>General</c:formatCode>
                <c:ptCount val="46"/>
              </c:numCache>
            </c:numRef>
          </c:cat>
          <c:val>
            <c:numRef>
              <c:f>'AWS 5kt'!$C$24:$C$69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182-4C8E-A5CC-BCA5ACCF19D1}"/>
            </c:ext>
          </c:extLst>
        </c:ser>
        <c:ser>
          <c:idx val="2"/>
          <c:order val="2"/>
          <c:tx>
            <c:strRef>
              <c:f>'AWS 5kt'!$D$23</c:f>
              <c:strCache>
                <c:ptCount val="1"/>
              </c:strCache>
            </c:strRef>
          </c:tx>
          <c:spPr>
            <a:ln w="15120">
              <a:solidFill>
                <a:srgbClr val="00BCD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5kt'!$A$24:$A$69</c:f>
              <c:numCache>
                <c:formatCode>General</c:formatCode>
                <c:ptCount val="46"/>
              </c:numCache>
            </c:numRef>
          </c:cat>
          <c:val>
            <c:numRef>
              <c:f>'AWS 5kt'!$D$24:$D$69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182-4C8E-A5CC-BCA5ACCF19D1}"/>
            </c:ext>
          </c:extLst>
        </c:ser>
        <c:ser>
          <c:idx val="3"/>
          <c:order val="3"/>
          <c:tx>
            <c:strRef>
              <c:f>'AWS 5kt'!$E$23</c:f>
              <c:strCache>
                <c:ptCount val="1"/>
              </c:strCache>
            </c:strRef>
          </c:tx>
          <c:spPr>
            <a:ln w="15120">
              <a:solidFill>
                <a:srgbClr val="4CAF5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5kt'!$A$24:$A$69</c:f>
              <c:numCache>
                <c:formatCode>General</c:formatCode>
                <c:ptCount val="46"/>
              </c:numCache>
            </c:numRef>
          </c:cat>
          <c:val>
            <c:numRef>
              <c:f>'AWS 5kt'!$E$24:$E$69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C182-4C8E-A5CC-BCA5ACCF19D1}"/>
            </c:ext>
          </c:extLst>
        </c:ser>
        <c:ser>
          <c:idx val="4"/>
          <c:order val="4"/>
          <c:tx>
            <c:strRef>
              <c:f>'AWS 5kt'!$F$23</c:f>
              <c:strCache>
                <c:ptCount val="1"/>
              </c:strCache>
            </c:strRef>
          </c:tx>
          <c:spPr>
            <a:ln w="15120">
              <a:solidFill>
                <a:srgbClr val="8BC34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5kt'!$A$24:$A$69</c:f>
              <c:numCache>
                <c:formatCode>General</c:formatCode>
                <c:ptCount val="46"/>
              </c:numCache>
            </c:numRef>
          </c:cat>
          <c:val>
            <c:numRef>
              <c:f>'AWS 5kt'!$F$24:$F$69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C182-4C8E-A5CC-BCA5ACCF19D1}"/>
            </c:ext>
          </c:extLst>
        </c:ser>
        <c:ser>
          <c:idx val="5"/>
          <c:order val="5"/>
          <c:tx>
            <c:strRef>
              <c:f>'AWS 5kt'!$G$23</c:f>
              <c:strCache>
                <c:ptCount val="1"/>
              </c:strCache>
            </c:strRef>
          </c:tx>
          <c:spPr>
            <a:ln w="15120">
              <a:solidFill>
                <a:srgbClr val="CDDC3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5kt'!$A$24:$A$69</c:f>
              <c:numCache>
                <c:formatCode>General</c:formatCode>
                <c:ptCount val="46"/>
              </c:numCache>
            </c:numRef>
          </c:cat>
          <c:val>
            <c:numRef>
              <c:f>'AWS 5kt'!$G$24:$G$69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C182-4C8E-A5CC-BCA5ACCF19D1}"/>
            </c:ext>
          </c:extLst>
        </c:ser>
        <c:ser>
          <c:idx val="6"/>
          <c:order val="6"/>
          <c:tx>
            <c:strRef>
              <c:f>'AWS 5kt'!$H$23</c:f>
              <c:strCache>
                <c:ptCount val="1"/>
              </c:strCache>
            </c:strRef>
          </c:tx>
          <c:spPr>
            <a:ln w="15120">
              <a:solidFill>
                <a:srgbClr val="FFC10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5kt'!$A$24:$A$69</c:f>
              <c:numCache>
                <c:formatCode>General</c:formatCode>
                <c:ptCount val="46"/>
              </c:numCache>
            </c:numRef>
          </c:cat>
          <c:val>
            <c:numRef>
              <c:f>'AWS 5kt'!$H$24:$H$69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C182-4C8E-A5CC-BCA5ACCF19D1}"/>
            </c:ext>
          </c:extLst>
        </c:ser>
        <c:ser>
          <c:idx val="7"/>
          <c:order val="7"/>
          <c:tx>
            <c:strRef>
              <c:f>'AWS 5kt'!$I$23</c:f>
              <c:strCache>
                <c:ptCount val="1"/>
              </c:strCache>
            </c:strRef>
          </c:tx>
          <c:spPr>
            <a:ln w="15120">
              <a:solidFill>
                <a:srgbClr val="FF98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5kt'!$A$24:$A$69</c:f>
              <c:numCache>
                <c:formatCode>General</c:formatCode>
                <c:ptCount val="46"/>
              </c:numCache>
            </c:numRef>
          </c:cat>
          <c:val>
            <c:numRef>
              <c:f>'AWS 5kt'!$I$24:$I$69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C182-4C8E-A5CC-BCA5ACCF19D1}"/>
            </c:ext>
          </c:extLst>
        </c:ser>
        <c:ser>
          <c:idx val="8"/>
          <c:order val="8"/>
          <c:tx>
            <c:strRef>
              <c:f>'AWS 5kt'!$J$23</c:f>
              <c:strCache>
                <c:ptCount val="1"/>
              </c:strCache>
            </c:strRef>
          </c:tx>
          <c:spPr>
            <a:ln w="15120">
              <a:solidFill>
                <a:srgbClr val="FF572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5kt'!$A$24:$A$69</c:f>
              <c:numCache>
                <c:formatCode>General</c:formatCode>
                <c:ptCount val="46"/>
              </c:numCache>
            </c:numRef>
          </c:cat>
          <c:val>
            <c:numRef>
              <c:f>'AWS 5kt'!$J$24:$J$69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C182-4C8E-A5CC-BCA5ACCF19D1}"/>
            </c:ext>
          </c:extLst>
        </c:ser>
        <c:ser>
          <c:idx val="9"/>
          <c:order val="9"/>
          <c:tx>
            <c:strRef>
              <c:f>'AWS 5kt'!$K$23</c:f>
              <c:strCache>
                <c:ptCount val="1"/>
              </c:strCache>
            </c:strRef>
          </c:tx>
          <c:spPr>
            <a:ln w="15120">
              <a:solidFill>
                <a:srgbClr val="F4433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5kt'!$A$24:$A$69</c:f>
              <c:numCache>
                <c:formatCode>General</c:formatCode>
                <c:ptCount val="46"/>
              </c:numCache>
            </c:numRef>
          </c:cat>
          <c:val>
            <c:numRef>
              <c:f>'AWS 5kt'!$K$24:$K$69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C182-4C8E-A5CC-BCA5ACCF19D1}"/>
            </c:ext>
          </c:extLst>
        </c:ser>
        <c:ser>
          <c:idx val="10"/>
          <c:order val="10"/>
          <c:tx>
            <c:strRef>
              <c:f>'AWS 5kt'!$L$23</c:f>
              <c:strCache>
                <c:ptCount val="1"/>
              </c:strCache>
            </c:strRef>
          </c:tx>
          <c:spPr>
            <a:ln w="15120">
              <a:solidFill>
                <a:srgbClr val="9C27B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5kt'!$A$24:$A$69</c:f>
              <c:numCache>
                <c:formatCode>General</c:formatCode>
                <c:ptCount val="46"/>
              </c:numCache>
            </c:numRef>
          </c:cat>
          <c:val>
            <c:numRef>
              <c:f>'AWS 5kt'!$L$24:$L$69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C182-4C8E-A5CC-BCA5ACCF19D1}"/>
            </c:ext>
          </c:extLst>
        </c:ser>
        <c:ser>
          <c:idx val="11"/>
          <c:order val="11"/>
          <c:tx>
            <c:strRef>
              <c:f>'AWS 5kt'!$M$23</c:f>
              <c:strCache>
                <c:ptCount val="1"/>
              </c:strCache>
            </c:strRef>
          </c:tx>
          <c:spPr>
            <a:ln w="15120">
              <a:solidFill>
                <a:srgbClr val="E91E6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5kt'!$A$24:$A$69</c:f>
              <c:numCache>
                <c:formatCode>General</c:formatCode>
                <c:ptCount val="46"/>
              </c:numCache>
            </c:numRef>
          </c:cat>
          <c:val>
            <c:numRef>
              <c:f>'AWS 5kt'!$M$24:$M$69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C182-4C8E-A5CC-BCA5ACCF19D1}"/>
            </c:ext>
          </c:extLst>
        </c:ser>
        <c:ser>
          <c:idx val="12"/>
          <c:order val="12"/>
          <c:tx>
            <c:strRef>
              <c:f>'AWS 5kt'!$N$23</c:f>
              <c:strCache>
                <c:ptCount val="1"/>
              </c:strCache>
            </c:strRef>
          </c:tx>
          <c:spPr>
            <a:ln w="15120">
              <a:solidFill>
                <a:srgbClr val="7955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5kt'!$A$24:$A$69</c:f>
              <c:numCache>
                <c:formatCode>General</c:formatCode>
                <c:ptCount val="46"/>
              </c:numCache>
            </c:numRef>
          </c:cat>
          <c:val>
            <c:numRef>
              <c:f>'AWS 5kt'!$N$24:$N$69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C182-4C8E-A5CC-BCA5ACCF19D1}"/>
            </c:ext>
          </c:extLst>
        </c:ser>
        <c:ser>
          <c:idx val="13"/>
          <c:order val="13"/>
          <c:tx>
            <c:strRef>
              <c:f>'AWS 5kt'!$O$23</c:f>
              <c:strCache>
                <c:ptCount val="1"/>
              </c:strCache>
            </c:strRef>
          </c:tx>
          <c:spPr>
            <a:ln w="15120">
              <a:solidFill>
                <a:srgbClr val="607D8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5kt'!$A$24:$A$69</c:f>
              <c:numCache>
                <c:formatCode>General</c:formatCode>
                <c:ptCount val="46"/>
              </c:numCache>
            </c:numRef>
          </c:cat>
          <c:val>
            <c:numRef>
              <c:f>'AWS 5kt'!$O$24:$O$69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C182-4C8E-A5CC-BCA5ACCF19D1}"/>
            </c:ext>
          </c:extLst>
        </c:ser>
        <c:ser>
          <c:idx val="14"/>
          <c:order val="14"/>
          <c:tx>
            <c:strRef>
              <c:f>'AWS 5kt'!$P$23</c:f>
              <c:strCache>
                <c:ptCount val="1"/>
              </c:strCache>
            </c:strRef>
          </c:tx>
          <c:spPr>
            <a:ln w="15120">
              <a:solidFill>
                <a:srgbClr val="00968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5kt'!$A$24:$A$69</c:f>
              <c:numCache>
                <c:formatCode>General</c:formatCode>
                <c:ptCount val="46"/>
              </c:numCache>
            </c:numRef>
          </c:cat>
          <c:val>
            <c:numRef>
              <c:f>'AWS 5kt'!$P$24:$P$69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C182-4C8E-A5CC-BCA5ACCF19D1}"/>
            </c:ext>
          </c:extLst>
        </c:ser>
        <c:ser>
          <c:idx val="15"/>
          <c:order val="15"/>
          <c:tx>
            <c:strRef>
              <c:f>'AWS 5kt'!$Q$23</c:f>
              <c:strCache>
                <c:ptCount val="1"/>
              </c:strCache>
            </c:strRef>
          </c:tx>
          <c:spPr>
            <a:ln w="15120">
              <a:solidFill>
                <a:srgbClr val="FF6F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5kt'!$A$24:$A$69</c:f>
              <c:numCache>
                <c:formatCode>General</c:formatCode>
                <c:ptCount val="46"/>
              </c:numCache>
            </c:numRef>
          </c:cat>
          <c:val>
            <c:numRef>
              <c:f>'AWS 5kt'!$Q$24:$Q$69</c:f>
              <c:numCache>
                <c:formatCode>General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C182-4C8E-A5CC-BCA5ACCF19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5675428"/>
        <c:axId val="67223530"/>
      </c:lineChart>
      <c:catAx>
        <c:axId val="656754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AOA (°)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67223530"/>
        <c:crosses val="autoZero"/>
        <c:auto val="1"/>
        <c:lblAlgn val="ctr"/>
        <c:lblOffset val="100"/>
        <c:noMultiLvlLbl val="0"/>
      </c:catAx>
      <c:valAx>
        <c:axId val="672235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656754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Cl = f(AOA) — AWS=10kt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'AWS 10kt'!$B$23</c:f>
              <c:strCache>
                <c:ptCount val="1"/>
              </c:strCache>
            </c:strRef>
          </c:tx>
          <c:spPr>
            <a:ln w="1512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10kt'!$A$24:$A$69</c:f>
              <c:numCache>
                <c:formatCode>General</c:formatCode>
                <c:ptCount val="46"/>
              </c:numCache>
            </c:numRef>
          </c:cat>
          <c:val>
            <c:numRef>
              <c:f>'AWS 10kt'!$B$24:$B$69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EE8-486B-AD59-C265E357EA93}"/>
            </c:ext>
          </c:extLst>
        </c:ser>
        <c:ser>
          <c:idx val="1"/>
          <c:order val="1"/>
          <c:tx>
            <c:strRef>
              <c:f>'AWS 10kt'!$C$23</c:f>
              <c:strCache>
                <c:ptCount val="1"/>
              </c:strCache>
            </c:strRef>
          </c:tx>
          <c:spPr>
            <a:ln w="15120">
              <a:solidFill>
                <a:srgbClr val="2196F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10kt'!$A$24:$A$69</c:f>
              <c:numCache>
                <c:formatCode>General</c:formatCode>
                <c:ptCount val="46"/>
              </c:numCache>
            </c:numRef>
          </c:cat>
          <c:val>
            <c:numRef>
              <c:f>'AWS 10kt'!$C$24:$C$69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EE8-486B-AD59-C265E357EA93}"/>
            </c:ext>
          </c:extLst>
        </c:ser>
        <c:ser>
          <c:idx val="2"/>
          <c:order val="2"/>
          <c:tx>
            <c:strRef>
              <c:f>'AWS 10kt'!$D$23</c:f>
              <c:strCache>
                <c:ptCount val="1"/>
              </c:strCache>
            </c:strRef>
          </c:tx>
          <c:spPr>
            <a:ln w="15120">
              <a:solidFill>
                <a:srgbClr val="00BCD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10kt'!$A$24:$A$69</c:f>
              <c:numCache>
                <c:formatCode>General</c:formatCode>
                <c:ptCount val="46"/>
              </c:numCache>
            </c:numRef>
          </c:cat>
          <c:val>
            <c:numRef>
              <c:f>'AWS 10kt'!$D$24:$D$69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EE8-486B-AD59-C265E357EA93}"/>
            </c:ext>
          </c:extLst>
        </c:ser>
        <c:ser>
          <c:idx val="3"/>
          <c:order val="3"/>
          <c:tx>
            <c:strRef>
              <c:f>'AWS 10kt'!$E$23</c:f>
              <c:strCache>
                <c:ptCount val="1"/>
              </c:strCache>
            </c:strRef>
          </c:tx>
          <c:spPr>
            <a:ln w="15120">
              <a:solidFill>
                <a:srgbClr val="4CAF5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10kt'!$A$24:$A$69</c:f>
              <c:numCache>
                <c:formatCode>General</c:formatCode>
                <c:ptCount val="46"/>
              </c:numCache>
            </c:numRef>
          </c:cat>
          <c:val>
            <c:numRef>
              <c:f>'AWS 10kt'!$E$24:$E$69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5EE8-486B-AD59-C265E357EA93}"/>
            </c:ext>
          </c:extLst>
        </c:ser>
        <c:ser>
          <c:idx val="4"/>
          <c:order val="4"/>
          <c:tx>
            <c:strRef>
              <c:f>'AWS 10kt'!$F$23</c:f>
              <c:strCache>
                <c:ptCount val="1"/>
              </c:strCache>
            </c:strRef>
          </c:tx>
          <c:spPr>
            <a:ln w="15120">
              <a:solidFill>
                <a:srgbClr val="8BC34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10kt'!$A$24:$A$69</c:f>
              <c:numCache>
                <c:formatCode>General</c:formatCode>
                <c:ptCount val="46"/>
              </c:numCache>
            </c:numRef>
          </c:cat>
          <c:val>
            <c:numRef>
              <c:f>'AWS 10kt'!$F$24:$F$69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5EE8-486B-AD59-C265E357EA93}"/>
            </c:ext>
          </c:extLst>
        </c:ser>
        <c:ser>
          <c:idx val="5"/>
          <c:order val="5"/>
          <c:tx>
            <c:strRef>
              <c:f>'AWS 10kt'!$G$23</c:f>
              <c:strCache>
                <c:ptCount val="1"/>
              </c:strCache>
            </c:strRef>
          </c:tx>
          <c:spPr>
            <a:ln w="15120">
              <a:solidFill>
                <a:srgbClr val="CDDC3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10kt'!$A$24:$A$69</c:f>
              <c:numCache>
                <c:formatCode>General</c:formatCode>
                <c:ptCount val="46"/>
              </c:numCache>
            </c:numRef>
          </c:cat>
          <c:val>
            <c:numRef>
              <c:f>'AWS 10kt'!$G$24:$G$69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5EE8-486B-AD59-C265E357EA93}"/>
            </c:ext>
          </c:extLst>
        </c:ser>
        <c:ser>
          <c:idx val="6"/>
          <c:order val="6"/>
          <c:tx>
            <c:strRef>
              <c:f>'AWS 10kt'!$H$23</c:f>
              <c:strCache>
                <c:ptCount val="1"/>
              </c:strCache>
            </c:strRef>
          </c:tx>
          <c:spPr>
            <a:ln w="15120">
              <a:solidFill>
                <a:srgbClr val="FFC10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10kt'!$A$24:$A$69</c:f>
              <c:numCache>
                <c:formatCode>General</c:formatCode>
                <c:ptCount val="46"/>
              </c:numCache>
            </c:numRef>
          </c:cat>
          <c:val>
            <c:numRef>
              <c:f>'AWS 10kt'!$H$24:$H$69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5EE8-486B-AD59-C265E357EA93}"/>
            </c:ext>
          </c:extLst>
        </c:ser>
        <c:ser>
          <c:idx val="7"/>
          <c:order val="7"/>
          <c:tx>
            <c:strRef>
              <c:f>'AWS 10kt'!$I$23</c:f>
              <c:strCache>
                <c:ptCount val="1"/>
              </c:strCache>
            </c:strRef>
          </c:tx>
          <c:spPr>
            <a:ln w="15120">
              <a:solidFill>
                <a:srgbClr val="FF98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10kt'!$A$24:$A$69</c:f>
              <c:numCache>
                <c:formatCode>General</c:formatCode>
                <c:ptCount val="46"/>
              </c:numCache>
            </c:numRef>
          </c:cat>
          <c:val>
            <c:numRef>
              <c:f>'AWS 10kt'!$I$24:$I$69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5EE8-486B-AD59-C265E357EA93}"/>
            </c:ext>
          </c:extLst>
        </c:ser>
        <c:ser>
          <c:idx val="8"/>
          <c:order val="8"/>
          <c:tx>
            <c:strRef>
              <c:f>'AWS 10kt'!$J$23</c:f>
              <c:strCache>
                <c:ptCount val="1"/>
              </c:strCache>
            </c:strRef>
          </c:tx>
          <c:spPr>
            <a:ln w="15120">
              <a:solidFill>
                <a:srgbClr val="FF572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10kt'!$A$24:$A$69</c:f>
              <c:numCache>
                <c:formatCode>General</c:formatCode>
                <c:ptCount val="46"/>
              </c:numCache>
            </c:numRef>
          </c:cat>
          <c:val>
            <c:numRef>
              <c:f>'AWS 10kt'!$J$24:$J$69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5EE8-486B-AD59-C265E357EA93}"/>
            </c:ext>
          </c:extLst>
        </c:ser>
        <c:ser>
          <c:idx val="9"/>
          <c:order val="9"/>
          <c:tx>
            <c:strRef>
              <c:f>'AWS 10kt'!$K$23</c:f>
              <c:strCache>
                <c:ptCount val="1"/>
              </c:strCache>
            </c:strRef>
          </c:tx>
          <c:spPr>
            <a:ln w="15120">
              <a:solidFill>
                <a:srgbClr val="F4433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10kt'!$A$24:$A$69</c:f>
              <c:numCache>
                <c:formatCode>General</c:formatCode>
                <c:ptCount val="46"/>
              </c:numCache>
            </c:numRef>
          </c:cat>
          <c:val>
            <c:numRef>
              <c:f>'AWS 10kt'!$K$24:$K$69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5EE8-486B-AD59-C265E357EA93}"/>
            </c:ext>
          </c:extLst>
        </c:ser>
        <c:ser>
          <c:idx val="10"/>
          <c:order val="10"/>
          <c:tx>
            <c:strRef>
              <c:f>'AWS 10kt'!$L$23</c:f>
              <c:strCache>
                <c:ptCount val="1"/>
              </c:strCache>
            </c:strRef>
          </c:tx>
          <c:spPr>
            <a:ln w="15120">
              <a:solidFill>
                <a:srgbClr val="9C27B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10kt'!$A$24:$A$69</c:f>
              <c:numCache>
                <c:formatCode>General</c:formatCode>
                <c:ptCount val="46"/>
              </c:numCache>
            </c:numRef>
          </c:cat>
          <c:val>
            <c:numRef>
              <c:f>'AWS 10kt'!$L$24:$L$69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5EE8-486B-AD59-C265E357EA93}"/>
            </c:ext>
          </c:extLst>
        </c:ser>
        <c:ser>
          <c:idx val="11"/>
          <c:order val="11"/>
          <c:tx>
            <c:strRef>
              <c:f>'AWS 10kt'!$M$23</c:f>
              <c:strCache>
                <c:ptCount val="1"/>
              </c:strCache>
            </c:strRef>
          </c:tx>
          <c:spPr>
            <a:ln w="15120">
              <a:solidFill>
                <a:srgbClr val="E91E6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10kt'!$A$24:$A$69</c:f>
              <c:numCache>
                <c:formatCode>General</c:formatCode>
                <c:ptCount val="46"/>
              </c:numCache>
            </c:numRef>
          </c:cat>
          <c:val>
            <c:numRef>
              <c:f>'AWS 10kt'!$M$24:$M$69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5EE8-486B-AD59-C265E357EA93}"/>
            </c:ext>
          </c:extLst>
        </c:ser>
        <c:ser>
          <c:idx val="12"/>
          <c:order val="12"/>
          <c:tx>
            <c:strRef>
              <c:f>'AWS 10kt'!$N$23</c:f>
              <c:strCache>
                <c:ptCount val="1"/>
              </c:strCache>
            </c:strRef>
          </c:tx>
          <c:spPr>
            <a:ln w="15120">
              <a:solidFill>
                <a:srgbClr val="7955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10kt'!$A$24:$A$69</c:f>
              <c:numCache>
                <c:formatCode>General</c:formatCode>
                <c:ptCount val="46"/>
              </c:numCache>
            </c:numRef>
          </c:cat>
          <c:val>
            <c:numRef>
              <c:f>'AWS 10kt'!$N$24:$N$69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5EE8-486B-AD59-C265E357EA93}"/>
            </c:ext>
          </c:extLst>
        </c:ser>
        <c:ser>
          <c:idx val="13"/>
          <c:order val="13"/>
          <c:tx>
            <c:strRef>
              <c:f>'AWS 10kt'!$O$23</c:f>
              <c:strCache>
                <c:ptCount val="1"/>
              </c:strCache>
            </c:strRef>
          </c:tx>
          <c:spPr>
            <a:ln w="15120">
              <a:solidFill>
                <a:srgbClr val="607D8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10kt'!$A$24:$A$69</c:f>
              <c:numCache>
                <c:formatCode>General</c:formatCode>
                <c:ptCount val="46"/>
              </c:numCache>
            </c:numRef>
          </c:cat>
          <c:val>
            <c:numRef>
              <c:f>'AWS 10kt'!$O$24:$O$69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5EE8-486B-AD59-C265E357EA93}"/>
            </c:ext>
          </c:extLst>
        </c:ser>
        <c:ser>
          <c:idx val="14"/>
          <c:order val="14"/>
          <c:tx>
            <c:strRef>
              <c:f>'AWS 10kt'!$P$23</c:f>
              <c:strCache>
                <c:ptCount val="1"/>
              </c:strCache>
            </c:strRef>
          </c:tx>
          <c:spPr>
            <a:ln w="15120">
              <a:solidFill>
                <a:srgbClr val="00968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10kt'!$A$24:$A$69</c:f>
              <c:numCache>
                <c:formatCode>General</c:formatCode>
                <c:ptCount val="46"/>
              </c:numCache>
            </c:numRef>
          </c:cat>
          <c:val>
            <c:numRef>
              <c:f>'AWS 10kt'!$P$24:$P$69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5EE8-486B-AD59-C265E357EA93}"/>
            </c:ext>
          </c:extLst>
        </c:ser>
        <c:ser>
          <c:idx val="15"/>
          <c:order val="15"/>
          <c:tx>
            <c:strRef>
              <c:f>'AWS 10kt'!$Q$23</c:f>
              <c:strCache>
                <c:ptCount val="1"/>
              </c:strCache>
            </c:strRef>
          </c:tx>
          <c:spPr>
            <a:ln w="15120">
              <a:solidFill>
                <a:srgbClr val="FF6F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10kt'!$A$24:$A$69</c:f>
              <c:numCache>
                <c:formatCode>General</c:formatCode>
                <c:ptCount val="46"/>
              </c:numCache>
            </c:numRef>
          </c:cat>
          <c:val>
            <c:numRef>
              <c:f>'AWS 10kt'!$Q$24:$Q$69</c:f>
              <c:numCache>
                <c:formatCode>General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5EE8-486B-AD59-C265E357E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4480867"/>
        <c:axId val="67979438"/>
      </c:lineChart>
      <c:catAx>
        <c:axId val="144808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AOA (°)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67979438"/>
        <c:crosses val="autoZero"/>
        <c:auto val="1"/>
        <c:lblAlgn val="ctr"/>
        <c:lblOffset val="100"/>
        <c:noMultiLvlLbl val="0"/>
      </c:catAx>
      <c:valAx>
        <c:axId val="679794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144808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Cl = f(AOA) — AWS=15kt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'AWS 15kt'!$B$23</c:f>
              <c:strCache>
                <c:ptCount val="1"/>
              </c:strCache>
            </c:strRef>
          </c:tx>
          <c:spPr>
            <a:ln w="1512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15kt'!$A$24:$A$69</c:f>
              <c:numCache>
                <c:formatCode>General</c:formatCode>
                <c:ptCount val="46"/>
              </c:numCache>
            </c:numRef>
          </c:cat>
          <c:val>
            <c:numRef>
              <c:f>'AWS 15kt'!$B$24:$B$69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9EA-412E-8D5A-1E4191C55980}"/>
            </c:ext>
          </c:extLst>
        </c:ser>
        <c:ser>
          <c:idx val="1"/>
          <c:order val="1"/>
          <c:tx>
            <c:strRef>
              <c:f>'AWS 15kt'!$C$23</c:f>
              <c:strCache>
                <c:ptCount val="1"/>
              </c:strCache>
            </c:strRef>
          </c:tx>
          <c:spPr>
            <a:ln w="15120">
              <a:solidFill>
                <a:srgbClr val="2196F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15kt'!$A$24:$A$69</c:f>
              <c:numCache>
                <c:formatCode>General</c:formatCode>
                <c:ptCount val="46"/>
              </c:numCache>
            </c:numRef>
          </c:cat>
          <c:val>
            <c:numRef>
              <c:f>'AWS 15kt'!$C$24:$C$69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9EA-412E-8D5A-1E4191C55980}"/>
            </c:ext>
          </c:extLst>
        </c:ser>
        <c:ser>
          <c:idx val="2"/>
          <c:order val="2"/>
          <c:tx>
            <c:strRef>
              <c:f>'AWS 15kt'!$D$23</c:f>
              <c:strCache>
                <c:ptCount val="1"/>
              </c:strCache>
            </c:strRef>
          </c:tx>
          <c:spPr>
            <a:ln w="15120">
              <a:solidFill>
                <a:srgbClr val="00BCD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15kt'!$A$24:$A$69</c:f>
              <c:numCache>
                <c:formatCode>General</c:formatCode>
                <c:ptCount val="46"/>
              </c:numCache>
            </c:numRef>
          </c:cat>
          <c:val>
            <c:numRef>
              <c:f>'AWS 15kt'!$D$24:$D$69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9EA-412E-8D5A-1E4191C55980}"/>
            </c:ext>
          </c:extLst>
        </c:ser>
        <c:ser>
          <c:idx val="3"/>
          <c:order val="3"/>
          <c:tx>
            <c:strRef>
              <c:f>'AWS 15kt'!$E$23</c:f>
              <c:strCache>
                <c:ptCount val="1"/>
              </c:strCache>
            </c:strRef>
          </c:tx>
          <c:spPr>
            <a:ln w="15120">
              <a:solidFill>
                <a:srgbClr val="4CAF5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15kt'!$A$24:$A$69</c:f>
              <c:numCache>
                <c:formatCode>General</c:formatCode>
                <c:ptCount val="46"/>
              </c:numCache>
            </c:numRef>
          </c:cat>
          <c:val>
            <c:numRef>
              <c:f>'AWS 15kt'!$E$24:$E$69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79EA-412E-8D5A-1E4191C55980}"/>
            </c:ext>
          </c:extLst>
        </c:ser>
        <c:ser>
          <c:idx val="4"/>
          <c:order val="4"/>
          <c:tx>
            <c:strRef>
              <c:f>'AWS 15kt'!$F$23</c:f>
              <c:strCache>
                <c:ptCount val="1"/>
              </c:strCache>
            </c:strRef>
          </c:tx>
          <c:spPr>
            <a:ln w="15120">
              <a:solidFill>
                <a:srgbClr val="8BC34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15kt'!$A$24:$A$69</c:f>
              <c:numCache>
                <c:formatCode>General</c:formatCode>
                <c:ptCount val="46"/>
              </c:numCache>
            </c:numRef>
          </c:cat>
          <c:val>
            <c:numRef>
              <c:f>'AWS 15kt'!$F$24:$F$69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79EA-412E-8D5A-1E4191C55980}"/>
            </c:ext>
          </c:extLst>
        </c:ser>
        <c:ser>
          <c:idx val="5"/>
          <c:order val="5"/>
          <c:tx>
            <c:strRef>
              <c:f>'AWS 15kt'!$G$23</c:f>
              <c:strCache>
                <c:ptCount val="1"/>
              </c:strCache>
            </c:strRef>
          </c:tx>
          <c:spPr>
            <a:ln w="15120">
              <a:solidFill>
                <a:srgbClr val="CDDC3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15kt'!$A$24:$A$69</c:f>
              <c:numCache>
                <c:formatCode>General</c:formatCode>
                <c:ptCount val="46"/>
              </c:numCache>
            </c:numRef>
          </c:cat>
          <c:val>
            <c:numRef>
              <c:f>'AWS 15kt'!$G$24:$G$69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79EA-412E-8D5A-1E4191C55980}"/>
            </c:ext>
          </c:extLst>
        </c:ser>
        <c:ser>
          <c:idx val="6"/>
          <c:order val="6"/>
          <c:tx>
            <c:strRef>
              <c:f>'AWS 15kt'!$H$23</c:f>
              <c:strCache>
                <c:ptCount val="1"/>
              </c:strCache>
            </c:strRef>
          </c:tx>
          <c:spPr>
            <a:ln w="15120">
              <a:solidFill>
                <a:srgbClr val="FFC10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15kt'!$A$24:$A$69</c:f>
              <c:numCache>
                <c:formatCode>General</c:formatCode>
                <c:ptCount val="46"/>
              </c:numCache>
            </c:numRef>
          </c:cat>
          <c:val>
            <c:numRef>
              <c:f>'AWS 15kt'!$H$24:$H$69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79EA-412E-8D5A-1E4191C55980}"/>
            </c:ext>
          </c:extLst>
        </c:ser>
        <c:ser>
          <c:idx val="7"/>
          <c:order val="7"/>
          <c:tx>
            <c:strRef>
              <c:f>'AWS 15kt'!$I$23</c:f>
              <c:strCache>
                <c:ptCount val="1"/>
              </c:strCache>
            </c:strRef>
          </c:tx>
          <c:spPr>
            <a:ln w="15120">
              <a:solidFill>
                <a:srgbClr val="FF98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15kt'!$A$24:$A$69</c:f>
              <c:numCache>
                <c:formatCode>General</c:formatCode>
                <c:ptCount val="46"/>
              </c:numCache>
            </c:numRef>
          </c:cat>
          <c:val>
            <c:numRef>
              <c:f>'AWS 15kt'!$I$24:$I$69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79EA-412E-8D5A-1E4191C55980}"/>
            </c:ext>
          </c:extLst>
        </c:ser>
        <c:ser>
          <c:idx val="8"/>
          <c:order val="8"/>
          <c:tx>
            <c:strRef>
              <c:f>'AWS 15kt'!$J$23</c:f>
              <c:strCache>
                <c:ptCount val="1"/>
              </c:strCache>
            </c:strRef>
          </c:tx>
          <c:spPr>
            <a:ln w="15120">
              <a:solidFill>
                <a:srgbClr val="FF572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15kt'!$A$24:$A$69</c:f>
              <c:numCache>
                <c:formatCode>General</c:formatCode>
                <c:ptCount val="46"/>
              </c:numCache>
            </c:numRef>
          </c:cat>
          <c:val>
            <c:numRef>
              <c:f>'AWS 15kt'!$J$24:$J$69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79EA-412E-8D5A-1E4191C55980}"/>
            </c:ext>
          </c:extLst>
        </c:ser>
        <c:ser>
          <c:idx val="9"/>
          <c:order val="9"/>
          <c:tx>
            <c:strRef>
              <c:f>'AWS 15kt'!$K$23</c:f>
              <c:strCache>
                <c:ptCount val="1"/>
              </c:strCache>
            </c:strRef>
          </c:tx>
          <c:spPr>
            <a:ln w="15120">
              <a:solidFill>
                <a:srgbClr val="F4433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15kt'!$A$24:$A$69</c:f>
              <c:numCache>
                <c:formatCode>General</c:formatCode>
                <c:ptCount val="46"/>
              </c:numCache>
            </c:numRef>
          </c:cat>
          <c:val>
            <c:numRef>
              <c:f>'AWS 15kt'!$K$24:$K$69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79EA-412E-8D5A-1E4191C55980}"/>
            </c:ext>
          </c:extLst>
        </c:ser>
        <c:ser>
          <c:idx val="10"/>
          <c:order val="10"/>
          <c:tx>
            <c:strRef>
              <c:f>'AWS 15kt'!$L$23</c:f>
              <c:strCache>
                <c:ptCount val="1"/>
              </c:strCache>
            </c:strRef>
          </c:tx>
          <c:spPr>
            <a:ln w="15120">
              <a:solidFill>
                <a:srgbClr val="9C27B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15kt'!$A$24:$A$69</c:f>
              <c:numCache>
                <c:formatCode>General</c:formatCode>
                <c:ptCount val="46"/>
              </c:numCache>
            </c:numRef>
          </c:cat>
          <c:val>
            <c:numRef>
              <c:f>'AWS 15kt'!$L$24:$L$69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79EA-412E-8D5A-1E4191C55980}"/>
            </c:ext>
          </c:extLst>
        </c:ser>
        <c:ser>
          <c:idx val="11"/>
          <c:order val="11"/>
          <c:tx>
            <c:strRef>
              <c:f>'AWS 15kt'!$M$23</c:f>
              <c:strCache>
                <c:ptCount val="1"/>
              </c:strCache>
            </c:strRef>
          </c:tx>
          <c:spPr>
            <a:ln w="15120">
              <a:solidFill>
                <a:srgbClr val="E91E6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15kt'!$A$24:$A$69</c:f>
              <c:numCache>
                <c:formatCode>General</c:formatCode>
                <c:ptCount val="46"/>
              </c:numCache>
            </c:numRef>
          </c:cat>
          <c:val>
            <c:numRef>
              <c:f>'AWS 15kt'!$M$24:$M$69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79EA-412E-8D5A-1E4191C55980}"/>
            </c:ext>
          </c:extLst>
        </c:ser>
        <c:ser>
          <c:idx val="12"/>
          <c:order val="12"/>
          <c:tx>
            <c:strRef>
              <c:f>'AWS 15kt'!$N$23</c:f>
              <c:strCache>
                <c:ptCount val="1"/>
              </c:strCache>
            </c:strRef>
          </c:tx>
          <c:spPr>
            <a:ln w="15120">
              <a:solidFill>
                <a:srgbClr val="7955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15kt'!$A$24:$A$69</c:f>
              <c:numCache>
                <c:formatCode>General</c:formatCode>
                <c:ptCount val="46"/>
              </c:numCache>
            </c:numRef>
          </c:cat>
          <c:val>
            <c:numRef>
              <c:f>'AWS 15kt'!$N$24:$N$69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79EA-412E-8D5A-1E4191C55980}"/>
            </c:ext>
          </c:extLst>
        </c:ser>
        <c:ser>
          <c:idx val="13"/>
          <c:order val="13"/>
          <c:tx>
            <c:strRef>
              <c:f>'AWS 15kt'!$O$23</c:f>
              <c:strCache>
                <c:ptCount val="1"/>
              </c:strCache>
            </c:strRef>
          </c:tx>
          <c:spPr>
            <a:ln w="15120">
              <a:solidFill>
                <a:srgbClr val="607D8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15kt'!$A$24:$A$69</c:f>
              <c:numCache>
                <c:formatCode>General</c:formatCode>
                <c:ptCount val="46"/>
              </c:numCache>
            </c:numRef>
          </c:cat>
          <c:val>
            <c:numRef>
              <c:f>'AWS 15kt'!$O$24:$O$69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79EA-412E-8D5A-1E4191C55980}"/>
            </c:ext>
          </c:extLst>
        </c:ser>
        <c:ser>
          <c:idx val="14"/>
          <c:order val="14"/>
          <c:tx>
            <c:strRef>
              <c:f>'AWS 15kt'!$P$23</c:f>
              <c:strCache>
                <c:ptCount val="1"/>
              </c:strCache>
            </c:strRef>
          </c:tx>
          <c:spPr>
            <a:ln w="15120">
              <a:solidFill>
                <a:srgbClr val="00968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15kt'!$A$24:$A$69</c:f>
              <c:numCache>
                <c:formatCode>General</c:formatCode>
                <c:ptCount val="46"/>
              </c:numCache>
            </c:numRef>
          </c:cat>
          <c:val>
            <c:numRef>
              <c:f>'AWS 15kt'!$P$24:$P$69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79EA-412E-8D5A-1E4191C55980}"/>
            </c:ext>
          </c:extLst>
        </c:ser>
        <c:ser>
          <c:idx val="15"/>
          <c:order val="15"/>
          <c:tx>
            <c:strRef>
              <c:f>'AWS 15kt'!$Q$23</c:f>
              <c:strCache>
                <c:ptCount val="1"/>
              </c:strCache>
            </c:strRef>
          </c:tx>
          <c:spPr>
            <a:ln w="15120">
              <a:solidFill>
                <a:srgbClr val="FF6F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15kt'!$A$24:$A$69</c:f>
              <c:numCache>
                <c:formatCode>General</c:formatCode>
                <c:ptCount val="46"/>
              </c:numCache>
            </c:numRef>
          </c:cat>
          <c:val>
            <c:numRef>
              <c:f>'AWS 15kt'!$Q$24:$Q$69</c:f>
              <c:numCache>
                <c:formatCode>General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79EA-412E-8D5A-1E4191C559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2320371"/>
        <c:axId val="95431813"/>
      </c:lineChart>
      <c:catAx>
        <c:axId val="423203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AOA (°)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5431813"/>
        <c:crosses val="autoZero"/>
        <c:auto val="1"/>
        <c:lblAlgn val="ctr"/>
        <c:lblOffset val="100"/>
        <c:noMultiLvlLbl val="0"/>
      </c:catAx>
      <c:valAx>
        <c:axId val="954318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423203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Cl = f(AOA) — AWS=20kt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'AWS 20kt'!$B$23</c:f>
              <c:strCache>
                <c:ptCount val="1"/>
              </c:strCache>
            </c:strRef>
          </c:tx>
          <c:spPr>
            <a:ln w="1512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20kt'!$A$24:$A$69</c:f>
              <c:numCache>
                <c:formatCode>General</c:formatCode>
                <c:ptCount val="46"/>
              </c:numCache>
            </c:numRef>
          </c:cat>
          <c:val>
            <c:numRef>
              <c:f>'AWS 20kt'!$B$24:$B$69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06-42D7-8F2E-80CA8A5E6439}"/>
            </c:ext>
          </c:extLst>
        </c:ser>
        <c:ser>
          <c:idx val="1"/>
          <c:order val="1"/>
          <c:tx>
            <c:strRef>
              <c:f>'AWS 20kt'!$C$23</c:f>
              <c:strCache>
                <c:ptCount val="1"/>
              </c:strCache>
            </c:strRef>
          </c:tx>
          <c:spPr>
            <a:ln w="15120">
              <a:solidFill>
                <a:srgbClr val="2196F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20kt'!$A$24:$A$69</c:f>
              <c:numCache>
                <c:formatCode>General</c:formatCode>
                <c:ptCount val="46"/>
              </c:numCache>
            </c:numRef>
          </c:cat>
          <c:val>
            <c:numRef>
              <c:f>'AWS 20kt'!$C$24:$C$69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06-42D7-8F2E-80CA8A5E6439}"/>
            </c:ext>
          </c:extLst>
        </c:ser>
        <c:ser>
          <c:idx val="2"/>
          <c:order val="2"/>
          <c:tx>
            <c:strRef>
              <c:f>'AWS 20kt'!$D$23</c:f>
              <c:strCache>
                <c:ptCount val="1"/>
              </c:strCache>
            </c:strRef>
          </c:tx>
          <c:spPr>
            <a:ln w="15120">
              <a:solidFill>
                <a:srgbClr val="00BCD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20kt'!$A$24:$A$69</c:f>
              <c:numCache>
                <c:formatCode>General</c:formatCode>
                <c:ptCount val="46"/>
              </c:numCache>
            </c:numRef>
          </c:cat>
          <c:val>
            <c:numRef>
              <c:f>'AWS 20kt'!$D$24:$D$69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306-42D7-8F2E-80CA8A5E6439}"/>
            </c:ext>
          </c:extLst>
        </c:ser>
        <c:ser>
          <c:idx val="3"/>
          <c:order val="3"/>
          <c:tx>
            <c:strRef>
              <c:f>'AWS 20kt'!$E$23</c:f>
              <c:strCache>
                <c:ptCount val="1"/>
              </c:strCache>
            </c:strRef>
          </c:tx>
          <c:spPr>
            <a:ln w="15120">
              <a:solidFill>
                <a:srgbClr val="4CAF5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20kt'!$A$24:$A$69</c:f>
              <c:numCache>
                <c:formatCode>General</c:formatCode>
                <c:ptCount val="46"/>
              </c:numCache>
            </c:numRef>
          </c:cat>
          <c:val>
            <c:numRef>
              <c:f>'AWS 20kt'!$E$24:$E$69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306-42D7-8F2E-80CA8A5E6439}"/>
            </c:ext>
          </c:extLst>
        </c:ser>
        <c:ser>
          <c:idx val="4"/>
          <c:order val="4"/>
          <c:tx>
            <c:strRef>
              <c:f>'AWS 20kt'!$F$23</c:f>
              <c:strCache>
                <c:ptCount val="1"/>
              </c:strCache>
            </c:strRef>
          </c:tx>
          <c:spPr>
            <a:ln w="15120">
              <a:solidFill>
                <a:srgbClr val="8BC34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20kt'!$A$24:$A$69</c:f>
              <c:numCache>
                <c:formatCode>General</c:formatCode>
                <c:ptCount val="46"/>
              </c:numCache>
            </c:numRef>
          </c:cat>
          <c:val>
            <c:numRef>
              <c:f>'AWS 20kt'!$F$24:$F$69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3306-42D7-8F2E-80CA8A5E6439}"/>
            </c:ext>
          </c:extLst>
        </c:ser>
        <c:ser>
          <c:idx val="5"/>
          <c:order val="5"/>
          <c:tx>
            <c:strRef>
              <c:f>'AWS 20kt'!$G$23</c:f>
              <c:strCache>
                <c:ptCount val="1"/>
              </c:strCache>
            </c:strRef>
          </c:tx>
          <c:spPr>
            <a:ln w="15120">
              <a:solidFill>
                <a:srgbClr val="CDDC3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20kt'!$A$24:$A$69</c:f>
              <c:numCache>
                <c:formatCode>General</c:formatCode>
                <c:ptCount val="46"/>
              </c:numCache>
            </c:numRef>
          </c:cat>
          <c:val>
            <c:numRef>
              <c:f>'AWS 20kt'!$G$24:$G$69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3306-42D7-8F2E-80CA8A5E6439}"/>
            </c:ext>
          </c:extLst>
        </c:ser>
        <c:ser>
          <c:idx val="6"/>
          <c:order val="6"/>
          <c:tx>
            <c:strRef>
              <c:f>'AWS 20kt'!$H$23</c:f>
              <c:strCache>
                <c:ptCount val="1"/>
              </c:strCache>
            </c:strRef>
          </c:tx>
          <c:spPr>
            <a:ln w="15120">
              <a:solidFill>
                <a:srgbClr val="FFC10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20kt'!$A$24:$A$69</c:f>
              <c:numCache>
                <c:formatCode>General</c:formatCode>
                <c:ptCount val="46"/>
              </c:numCache>
            </c:numRef>
          </c:cat>
          <c:val>
            <c:numRef>
              <c:f>'AWS 20kt'!$H$24:$H$69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3306-42D7-8F2E-80CA8A5E6439}"/>
            </c:ext>
          </c:extLst>
        </c:ser>
        <c:ser>
          <c:idx val="7"/>
          <c:order val="7"/>
          <c:tx>
            <c:strRef>
              <c:f>'AWS 20kt'!$I$23</c:f>
              <c:strCache>
                <c:ptCount val="1"/>
              </c:strCache>
            </c:strRef>
          </c:tx>
          <c:spPr>
            <a:ln w="15120">
              <a:solidFill>
                <a:srgbClr val="FF98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20kt'!$A$24:$A$69</c:f>
              <c:numCache>
                <c:formatCode>General</c:formatCode>
                <c:ptCount val="46"/>
              </c:numCache>
            </c:numRef>
          </c:cat>
          <c:val>
            <c:numRef>
              <c:f>'AWS 20kt'!$I$24:$I$69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3306-42D7-8F2E-80CA8A5E6439}"/>
            </c:ext>
          </c:extLst>
        </c:ser>
        <c:ser>
          <c:idx val="8"/>
          <c:order val="8"/>
          <c:tx>
            <c:strRef>
              <c:f>'AWS 20kt'!$J$23</c:f>
              <c:strCache>
                <c:ptCount val="1"/>
              </c:strCache>
            </c:strRef>
          </c:tx>
          <c:spPr>
            <a:ln w="15120">
              <a:solidFill>
                <a:srgbClr val="FF572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20kt'!$A$24:$A$69</c:f>
              <c:numCache>
                <c:formatCode>General</c:formatCode>
                <c:ptCount val="46"/>
              </c:numCache>
            </c:numRef>
          </c:cat>
          <c:val>
            <c:numRef>
              <c:f>'AWS 20kt'!$J$24:$J$69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3306-42D7-8F2E-80CA8A5E6439}"/>
            </c:ext>
          </c:extLst>
        </c:ser>
        <c:ser>
          <c:idx val="9"/>
          <c:order val="9"/>
          <c:tx>
            <c:strRef>
              <c:f>'AWS 20kt'!$K$23</c:f>
              <c:strCache>
                <c:ptCount val="1"/>
              </c:strCache>
            </c:strRef>
          </c:tx>
          <c:spPr>
            <a:ln w="15120">
              <a:solidFill>
                <a:srgbClr val="F4433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20kt'!$A$24:$A$69</c:f>
              <c:numCache>
                <c:formatCode>General</c:formatCode>
                <c:ptCount val="46"/>
              </c:numCache>
            </c:numRef>
          </c:cat>
          <c:val>
            <c:numRef>
              <c:f>'AWS 20kt'!$K$24:$K$69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3306-42D7-8F2E-80CA8A5E6439}"/>
            </c:ext>
          </c:extLst>
        </c:ser>
        <c:ser>
          <c:idx val="10"/>
          <c:order val="10"/>
          <c:tx>
            <c:strRef>
              <c:f>'AWS 20kt'!$L$23</c:f>
              <c:strCache>
                <c:ptCount val="1"/>
              </c:strCache>
            </c:strRef>
          </c:tx>
          <c:spPr>
            <a:ln w="15120">
              <a:solidFill>
                <a:srgbClr val="9C27B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20kt'!$A$24:$A$69</c:f>
              <c:numCache>
                <c:formatCode>General</c:formatCode>
                <c:ptCount val="46"/>
              </c:numCache>
            </c:numRef>
          </c:cat>
          <c:val>
            <c:numRef>
              <c:f>'AWS 20kt'!$L$24:$L$69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3306-42D7-8F2E-80CA8A5E6439}"/>
            </c:ext>
          </c:extLst>
        </c:ser>
        <c:ser>
          <c:idx val="11"/>
          <c:order val="11"/>
          <c:tx>
            <c:strRef>
              <c:f>'AWS 20kt'!$M$23</c:f>
              <c:strCache>
                <c:ptCount val="1"/>
              </c:strCache>
            </c:strRef>
          </c:tx>
          <c:spPr>
            <a:ln w="15120">
              <a:solidFill>
                <a:srgbClr val="E91E6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20kt'!$A$24:$A$69</c:f>
              <c:numCache>
                <c:formatCode>General</c:formatCode>
                <c:ptCount val="46"/>
              </c:numCache>
            </c:numRef>
          </c:cat>
          <c:val>
            <c:numRef>
              <c:f>'AWS 20kt'!$M$24:$M$69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3306-42D7-8F2E-80CA8A5E6439}"/>
            </c:ext>
          </c:extLst>
        </c:ser>
        <c:ser>
          <c:idx val="12"/>
          <c:order val="12"/>
          <c:tx>
            <c:strRef>
              <c:f>'AWS 20kt'!$N$23</c:f>
              <c:strCache>
                <c:ptCount val="1"/>
              </c:strCache>
            </c:strRef>
          </c:tx>
          <c:spPr>
            <a:ln w="15120">
              <a:solidFill>
                <a:srgbClr val="7955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20kt'!$A$24:$A$69</c:f>
              <c:numCache>
                <c:formatCode>General</c:formatCode>
                <c:ptCount val="46"/>
              </c:numCache>
            </c:numRef>
          </c:cat>
          <c:val>
            <c:numRef>
              <c:f>'AWS 20kt'!$N$24:$N$69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3306-42D7-8F2E-80CA8A5E6439}"/>
            </c:ext>
          </c:extLst>
        </c:ser>
        <c:ser>
          <c:idx val="13"/>
          <c:order val="13"/>
          <c:tx>
            <c:strRef>
              <c:f>'AWS 20kt'!$O$23</c:f>
              <c:strCache>
                <c:ptCount val="1"/>
              </c:strCache>
            </c:strRef>
          </c:tx>
          <c:spPr>
            <a:ln w="15120">
              <a:solidFill>
                <a:srgbClr val="607D8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20kt'!$A$24:$A$69</c:f>
              <c:numCache>
                <c:formatCode>General</c:formatCode>
                <c:ptCount val="46"/>
              </c:numCache>
            </c:numRef>
          </c:cat>
          <c:val>
            <c:numRef>
              <c:f>'AWS 20kt'!$O$24:$O$69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3306-42D7-8F2E-80CA8A5E6439}"/>
            </c:ext>
          </c:extLst>
        </c:ser>
        <c:ser>
          <c:idx val="14"/>
          <c:order val="14"/>
          <c:tx>
            <c:strRef>
              <c:f>'AWS 20kt'!$P$23</c:f>
              <c:strCache>
                <c:ptCount val="1"/>
              </c:strCache>
            </c:strRef>
          </c:tx>
          <c:spPr>
            <a:ln w="15120">
              <a:solidFill>
                <a:srgbClr val="00968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20kt'!$A$24:$A$69</c:f>
              <c:numCache>
                <c:formatCode>General</c:formatCode>
                <c:ptCount val="46"/>
              </c:numCache>
            </c:numRef>
          </c:cat>
          <c:val>
            <c:numRef>
              <c:f>'AWS 20kt'!$P$24:$P$69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3306-42D7-8F2E-80CA8A5E6439}"/>
            </c:ext>
          </c:extLst>
        </c:ser>
        <c:ser>
          <c:idx val="15"/>
          <c:order val="15"/>
          <c:tx>
            <c:strRef>
              <c:f>'AWS 20kt'!$Q$23</c:f>
              <c:strCache>
                <c:ptCount val="1"/>
              </c:strCache>
            </c:strRef>
          </c:tx>
          <c:spPr>
            <a:ln w="15120">
              <a:solidFill>
                <a:srgbClr val="FF6F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20kt'!$A$24:$A$69</c:f>
              <c:numCache>
                <c:formatCode>General</c:formatCode>
                <c:ptCount val="46"/>
              </c:numCache>
            </c:numRef>
          </c:cat>
          <c:val>
            <c:numRef>
              <c:f>'AWS 20kt'!$Q$24:$Q$69</c:f>
              <c:numCache>
                <c:formatCode>General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3306-42D7-8F2E-80CA8A5E6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7710374"/>
        <c:axId val="95511049"/>
      </c:lineChart>
      <c:catAx>
        <c:axId val="4771037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AOA (°)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5511049"/>
        <c:crosses val="autoZero"/>
        <c:auto val="1"/>
        <c:lblAlgn val="ctr"/>
        <c:lblOffset val="100"/>
        <c:noMultiLvlLbl val="0"/>
      </c:catAx>
      <c:valAx>
        <c:axId val="955110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4771037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Cl = f(AOA) — AWS=25kt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'AWS 25kt'!$B$23</c:f>
              <c:strCache>
                <c:ptCount val="1"/>
              </c:strCache>
            </c:strRef>
          </c:tx>
          <c:spPr>
            <a:ln w="1512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25kt'!$A$24:$A$69</c:f>
              <c:numCache>
                <c:formatCode>General</c:formatCode>
                <c:ptCount val="46"/>
              </c:numCache>
            </c:numRef>
          </c:cat>
          <c:val>
            <c:numRef>
              <c:f>'AWS 25kt'!$B$24:$B$69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245-4EF5-8D8B-1127ECBB78A7}"/>
            </c:ext>
          </c:extLst>
        </c:ser>
        <c:ser>
          <c:idx val="1"/>
          <c:order val="1"/>
          <c:tx>
            <c:strRef>
              <c:f>'AWS 25kt'!$C$23</c:f>
              <c:strCache>
                <c:ptCount val="1"/>
              </c:strCache>
            </c:strRef>
          </c:tx>
          <c:spPr>
            <a:ln w="15120">
              <a:solidFill>
                <a:srgbClr val="2196F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25kt'!$A$24:$A$69</c:f>
              <c:numCache>
                <c:formatCode>General</c:formatCode>
                <c:ptCount val="46"/>
              </c:numCache>
            </c:numRef>
          </c:cat>
          <c:val>
            <c:numRef>
              <c:f>'AWS 25kt'!$C$24:$C$69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245-4EF5-8D8B-1127ECBB78A7}"/>
            </c:ext>
          </c:extLst>
        </c:ser>
        <c:ser>
          <c:idx val="2"/>
          <c:order val="2"/>
          <c:tx>
            <c:strRef>
              <c:f>'AWS 25kt'!$D$23</c:f>
              <c:strCache>
                <c:ptCount val="1"/>
              </c:strCache>
            </c:strRef>
          </c:tx>
          <c:spPr>
            <a:ln w="15120">
              <a:solidFill>
                <a:srgbClr val="00BCD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25kt'!$A$24:$A$69</c:f>
              <c:numCache>
                <c:formatCode>General</c:formatCode>
                <c:ptCount val="46"/>
              </c:numCache>
            </c:numRef>
          </c:cat>
          <c:val>
            <c:numRef>
              <c:f>'AWS 25kt'!$D$24:$D$69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245-4EF5-8D8B-1127ECBB78A7}"/>
            </c:ext>
          </c:extLst>
        </c:ser>
        <c:ser>
          <c:idx val="3"/>
          <c:order val="3"/>
          <c:tx>
            <c:strRef>
              <c:f>'AWS 25kt'!$E$23</c:f>
              <c:strCache>
                <c:ptCount val="1"/>
              </c:strCache>
            </c:strRef>
          </c:tx>
          <c:spPr>
            <a:ln w="15120">
              <a:solidFill>
                <a:srgbClr val="4CAF5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25kt'!$A$24:$A$69</c:f>
              <c:numCache>
                <c:formatCode>General</c:formatCode>
                <c:ptCount val="46"/>
              </c:numCache>
            </c:numRef>
          </c:cat>
          <c:val>
            <c:numRef>
              <c:f>'AWS 25kt'!$E$24:$E$69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7245-4EF5-8D8B-1127ECBB78A7}"/>
            </c:ext>
          </c:extLst>
        </c:ser>
        <c:ser>
          <c:idx val="4"/>
          <c:order val="4"/>
          <c:tx>
            <c:strRef>
              <c:f>'AWS 25kt'!$F$23</c:f>
              <c:strCache>
                <c:ptCount val="1"/>
              </c:strCache>
            </c:strRef>
          </c:tx>
          <c:spPr>
            <a:ln w="15120">
              <a:solidFill>
                <a:srgbClr val="8BC34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25kt'!$A$24:$A$69</c:f>
              <c:numCache>
                <c:formatCode>General</c:formatCode>
                <c:ptCount val="46"/>
              </c:numCache>
            </c:numRef>
          </c:cat>
          <c:val>
            <c:numRef>
              <c:f>'AWS 25kt'!$F$24:$F$69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7245-4EF5-8D8B-1127ECBB78A7}"/>
            </c:ext>
          </c:extLst>
        </c:ser>
        <c:ser>
          <c:idx val="5"/>
          <c:order val="5"/>
          <c:tx>
            <c:strRef>
              <c:f>'AWS 25kt'!$G$23</c:f>
              <c:strCache>
                <c:ptCount val="1"/>
              </c:strCache>
            </c:strRef>
          </c:tx>
          <c:spPr>
            <a:ln w="15120">
              <a:solidFill>
                <a:srgbClr val="CDDC3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25kt'!$A$24:$A$69</c:f>
              <c:numCache>
                <c:formatCode>General</c:formatCode>
                <c:ptCount val="46"/>
              </c:numCache>
            </c:numRef>
          </c:cat>
          <c:val>
            <c:numRef>
              <c:f>'AWS 25kt'!$G$24:$G$69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7245-4EF5-8D8B-1127ECBB78A7}"/>
            </c:ext>
          </c:extLst>
        </c:ser>
        <c:ser>
          <c:idx val="6"/>
          <c:order val="6"/>
          <c:tx>
            <c:strRef>
              <c:f>'AWS 25kt'!$H$23</c:f>
              <c:strCache>
                <c:ptCount val="1"/>
              </c:strCache>
            </c:strRef>
          </c:tx>
          <c:spPr>
            <a:ln w="15120">
              <a:solidFill>
                <a:srgbClr val="FFC10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25kt'!$A$24:$A$69</c:f>
              <c:numCache>
                <c:formatCode>General</c:formatCode>
                <c:ptCount val="46"/>
              </c:numCache>
            </c:numRef>
          </c:cat>
          <c:val>
            <c:numRef>
              <c:f>'AWS 25kt'!$H$24:$H$69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7245-4EF5-8D8B-1127ECBB78A7}"/>
            </c:ext>
          </c:extLst>
        </c:ser>
        <c:ser>
          <c:idx val="7"/>
          <c:order val="7"/>
          <c:tx>
            <c:strRef>
              <c:f>'AWS 25kt'!$I$23</c:f>
              <c:strCache>
                <c:ptCount val="1"/>
              </c:strCache>
            </c:strRef>
          </c:tx>
          <c:spPr>
            <a:ln w="15120">
              <a:solidFill>
                <a:srgbClr val="FF98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25kt'!$A$24:$A$69</c:f>
              <c:numCache>
                <c:formatCode>General</c:formatCode>
                <c:ptCount val="46"/>
              </c:numCache>
            </c:numRef>
          </c:cat>
          <c:val>
            <c:numRef>
              <c:f>'AWS 25kt'!$I$24:$I$69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7245-4EF5-8D8B-1127ECBB78A7}"/>
            </c:ext>
          </c:extLst>
        </c:ser>
        <c:ser>
          <c:idx val="8"/>
          <c:order val="8"/>
          <c:tx>
            <c:strRef>
              <c:f>'AWS 25kt'!$J$23</c:f>
              <c:strCache>
                <c:ptCount val="1"/>
              </c:strCache>
            </c:strRef>
          </c:tx>
          <c:spPr>
            <a:ln w="15120">
              <a:solidFill>
                <a:srgbClr val="FF572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25kt'!$A$24:$A$69</c:f>
              <c:numCache>
                <c:formatCode>General</c:formatCode>
                <c:ptCount val="46"/>
              </c:numCache>
            </c:numRef>
          </c:cat>
          <c:val>
            <c:numRef>
              <c:f>'AWS 25kt'!$J$24:$J$69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7245-4EF5-8D8B-1127ECBB78A7}"/>
            </c:ext>
          </c:extLst>
        </c:ser>
        <c:ser>
          <c:idx val="9"/>
          <c:order val="9"/>
          <c:tx>
            <c:strRef>
              <c:f>'AWS 25kt'!$K$23</c:f>
              <c:strCache>
                <c:ptCount val="1"/>
              </c:strCache>
            </c:strRef>
          </c:tx>
          <c:spPr>
            <a:ln w="15120">
              <a:solidFill>
                <a:srgbClr val="F4433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25kt'!$A$24:$A$69</c:f>
              <c:numCache>
                <c:formatCode>General</c:formatCode>
                <c:ptCount val="46"/>
              </c:numCache>
            </c:numRef>
          </c:cat>
          <c:val>
            <c:numRef>
              <c:f>'AWS 25kt'!$K$24:$K$69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7245-4EF5-8D8B-1127ECBB78A7}"/>
            </c:ext>
          </c:extLst>
        </c:ser>
        <c:ser>
          <c:idx val="10"/>
          <c:order val="10"/>
          <c:tx>
            <c:strRef>
              <c:f>'AWS 25kt'!$L$23</c:f>
              <c:strCache>
                <c:ptCount val="1"/>
              </c:strCache>
            </c:strRef>
          </c:tx>
          <c:spPr>
            <a:ln w="15120">
              <a:solidFill>
                <a:srgbClr val="9C27B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25kt'!$A$24:$A$69</c:f>
              <c:numCache>
                <c:formatCode>General</c:formatCode>
                <c:ptCount val="46"/>
              </c:numCache>
            </c:numRef>
          </c:cat>
          <c:val>
            <c:numRef>
              <c:f>'AWS 25kt'!$L$24:$L$69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7245-4EF5-8D8B-1127ECBB78A7}"/>
            </c:ext>
          </c:extLst>
        </c:ser>
        <c:ser>
          <c:idx val="11"/>
          <c:order val="11"/>
          <c:tx>
            <c:strRef>
              <c:f>'AWS 25kt'!$M$23</c:f>
              <c:strCache>
                <c:ptCount val="1"/>
              </c:strCache>
            </c:strRef>
          </c:tx>
          <c:spPr>
            <a:ln w="15120">
              <a:solidFill>
                <a:srgbClr val="E91E6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25kt'!$A$24:$A$69</c:f>
              <c:numCache>
                <c:formatCode>General</c:formatCode>
                <c:ptCount val="46"/>
              </c:numCache>
            </c:numRef>
          </c:cat>
          <c:val>
            <c:numRef>
              <c:f>'AWS 25kt'!$M$24:$M$69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7245-4EF5-8D8B-1127ECBB78A7}"/>
            </c:ext>
          </c:extLst>
        </c:ser>
        <c:ser>
          <c:idx val="12"/>
          <c:order val="12"/>
          <c:tx>
            <c:strRef>
              <c:f>'AWS 25kt'!$N$23</c:f>
              <c:strCache>
                <c:ptCount val="1"/>
              </c:strCache>
            </c:strRef>
          </c:tx>
          <c:spPr>
            <a:ln w="15120">
              <a:solidFill>
                <a:srgbClr val="7955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25kt'!$A$24:$A$69</c:f>
              <c:numCache>
                <c:formatCode>General</c:formatCode>
                <c:ptCount val="46"/>
              </c:numCache>
            </c:numRef>
          </c:cat>
          <c:val>
            <c:numRef>
              <c:f>'AWS 25kt'!$N$24:$N$69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7245-4EF5-8D8B-1127ECBB78A7}"/>
            </c:ext>
          </c:extLst>
        </c:ser>
        <c:ser>
          <c:idx val="13"/>
          <c:order val="13"/>
          <c:tx>
            <c:strRef>
              <c:f>'AWS 25kt'!$O$23</c:f>
              <c:strCache>
                <c:ptCount val="1"/>
              </c:strCache>
            </c:strRef>
          </c:tx>
          <c:spPr>
            <a:ln w="15120">
              <a:solidFill>
                <a:srgbClr val="607D8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25kt'!$A$24:$A$69</c:f>
              <c:numCache>
                <c:formatCode>General</c:formatCode>
                <c:ptCount val="46"/>
              </c:numCache>
            </c:numRef>
          </c:cat>
          <c:val>
            <c:numRef>
              <c:f>'AWS 25kt'!$O$24:$O$69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7245-4EF5-8D8B-1127ECBB78A7}"/>
            </c:ext>
          </c:extLst>
        </c:ser>
        <c:ser>
          <c:idx val="14"/>
          <c:order val="14"/>
          <c:tx>
            <c:strRef>
              <c:f>'AWS 25kt'!$P$23</c:f>
              <c:strCache>
                <c:ptCount val="1"/>
              </c:strCache>
            </c:strRef>
          </c:tx>
          <c:spPr>
            <a:ln w="15120">
              <a:solidFill>
                <a:srgbClr val="00968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25kt'!$A$24:$A$69</c:f>
              <c:numCache>
                <c:formatCode>General</c:formatCode>
                <c:ptCount val="46"/>
              </c:numCache>
            </c:numRef>
          </c:cat>
          <c:val>
            <c:numRef>
              <c:f>'AWS 25kt'!$P$24:$P$69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7245-4EF5-8D8B-1127ECBB78A7}"/>
            </c:ext>
          </c:extLst>
        </c:ser>
        <c:ser>
          <c:idx val="15"/>
          <c:order val="15"/>
          <c:tx>
            <c:strRef>
              <c:f>'AWS 25kt'!$Q$23</c:f>
              <c:strCache>
                <c:ptCount val="1"/>
              </c:strCache>
            </c:strRef>
          </c:tx>
          <c:spPr>
            <a:ln w="15120">
              <a:solidFill>
                <a:srgbClr val="FF6F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25kt'!$A$24:$A$69</c:f>
              <c:numCache>
                <c:formatCode>General</c:formatCode>
                <c:ptCount val="46"/>
              </c:numCache>
            </c:numRef>
          </c:cat>
          <c:val>
            <c:numRef>
              <c:f>'AWS 25kt'!$Q$24:$Q$69</c:f>
              <c:numCache>
                <c:formatCode>General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7245-4EF5-8D8B-1127ECBB7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805500"/>
        <c:axId val="97742903"/>
      </c:lineChart>
      <c:catAx>
        <c:axId val="280550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AOA (°)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7742903"/>
        <c:crosses val="autoZero"/>
        <c:auto val="1"/>
        <c:lblAlgn val="ctr"/>
        <c:lblOffset val="100"/>
        <c:noMultiLvlLbl val="0"/>
      </c:catAx>
      <c:valAx>
        <c:axId val="977429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28055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Cl = f(AOA) — AWS=30kt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'AWS 30kt'!$B$23</c:f>
              <c:strCache>
                <c:ptCount val="1"/>
              </c:strCache>
            </c:strRef>
          </c:tx>
          <c:spPr>
            <a:ln w="1512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30kt'!$A$24:$A$69</c:f>
              <c:numCache>
                <c:formatCode>General</c:formatCode>
                <c:ptCount val="46"/>
              </c:numCache>
            </c:numRef>
          </c:cat>
          <c:val>
            <c:numRef>
              <c:f>'AWS 30kt'!$B$24:$B$69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3-4E63-8427-AD83E1F23E5C}"/>
            </c:ext>
          </c:extLst>
        </c:ser>
        <c:ser>
          <c:idx val="1"/>
          <c:order val="1"/>
          <c:tx>
            <c:strRef>
              <c:f>'AWS 30kt'!$C$23</c:f>
              <c:strCache>
                <c:ptCount val="1"/>
              </c:strCache>
            </c:strRef>
          </c:tx>
          <c:spPr>
            <a:ln w="15120">
              <a:solidFill>
                <a:srgbClr val="2196F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30kt'!$A$24:$A$69</c:f>
              <c:numCache>
                <c:formatCode>General</c:formatCode>
                <c:ptCount val="46"/>
              </c:numCache>
            </c:numRef>
          </c:cat>
          <c:val>
            <c:numRef>
              <c:f>'AWS 30kt'!$C$24:$C$69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F3-4E63-8427-AD83E1F23E5C}"/>
            </c:ext>
          </c:extLst>
        </c:ser>
        <c:ser>
          <c:idx val="2"/>
          <c:order val="2"/>
          <c:tx>
            <c:strRef>
              <c:f>'AWS 30kt'!$D$23</c:f>
              <c:strCache>
                <c:ptCount val="1"/>
              </c:strCache>
            </c:strRef>
          </c:tx>
          <c:spPr>
            <a:ln w="15120">
              <a:solidFill>
                <a:srgbClr val="00BCD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30kt'!$A$24:$A$69</c:f>
              <c:numCache>
                <c:formatCode>General</c:formatCode>
                <c:ptCount val="46"/>
              </c:numCache>
            </c:numRef>
          </c:cat>
          <c:val>
            <c:numRef>
              <c:f>'AWS 30kt'!$D$24:$D$69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6F3-4E63-8427-AD83E1F23E5C}"/>
            </c:ext>
          </c:extLst>
        </c:ser>
        <c:ser>
          <c:idx val="3"/>
          <c:order val="3"/>
          <c:tx>
            <c:strRef>
              <c:f>'AWS 30kt'!$E$23</c:f>
              <c:strCache>
                <c:ptCount val="1"/>
              </c:strCache>
            </c:strRef>
          </c:tx>
          <c:spPr>
            <a:ln w="15120">
              <a:solidFill>
                <a:srgbClr val="4CAF5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30kt'!$A$24:$A$69</c:f>
              <c:numCache>
                <c:formatCode>General</c:formatCode>
                <c:ptCount val="46"/>
              </c:numCache>
            </c:numRef>
          </c:cat>
          <c:val>
            <c:numRef>
              <c:f>'AWS 30kt'!$E$24:$E$69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6F3-4E63-8427-AD83E1F23E5C}"/>
            </c:ext>
          </c:extLst>
        </c:ser>
        <c:ser>
          <c:idx val="4"/>
          <c:order val="4"/>
          <c:tx>
            <c:strRef>
              <c:f>'AWS 30kt'!$F$23</c:f>
              <c:strCache>
                <c:ptCount val="1"/>
              </c:strCache>
            </c:strRef>
          </c:tx>
          <c:spPr>
            <a:ln w="15120">
              <a:solidFill>
                <a:srgbClr val="8BC34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30kt'!$A$24:$A$69</c:f>
              <c:numCache>
                <c:formatCode>General</c:formatCode>
                <c:ptCount val="46"/>
              </c:numCache>
            </c:numRef>
          </c:cat>
          <c:val>
            <c:numRef>
              <c:f>'AWS 30kt'!$F$24:$F$69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36F3-4E63-8427-AD83E1F23E5C}"/>
            </c:ext>
          </c:extLst>
        </c:ser>
        <c:ser>
          <c:idx val="5"/>
          <c:order val="5"/>
          <c:tx>
            <c:strRef>
              <c:f>'AWS 30kt'!$G$23</c:f>
              <c:strCache>
                <c:ptCount val="1"/>
              </c:strCache>
            </c:strRef>
          </c:tx>
          <c:spPr>
            <a:ln w="15120">
              <a:solidFill>
                <a:srgbClr val="CDDC3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30kt'!$A$24:$A$69</c:f>
              <c:numCache>
                <c:formatCode>General</c:formatCode>
                <c:ptCount val="46"/>
              </c:numCache>
            </c:numRef>
          </c:cat>
          <c:val>
            <c:numRef>
              <c:f>'AWS 30kt'!$G$24:$G$69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36F3-4E63-8427-AD83E1F23E5C}"/>
            </c:ext>
          </c:extLst>
        </c:ser>
        <c:ser>
          <c:idx val="6"/>
          <c:order val="6"/>
          <c:tx>
            <c:strRef>
              <c:f>'AWS 30kt'!$H$23</c:f>
              <c:strCache>
                <c:ptCount val="1"/>
              </c:strCache>
            </c:strRef>
          </c:tx>
          <c:spPr>
            <a:ln w="15120">
              <a:solidFill>
                <a:srgbClr val="FFC10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30kt'!$A$24:$A$69</c:f>
              <c:numCache>
                <c:formatCode>General</c:formatCode>
                <c:ptCount val="46"/>
              </c:numCache>
            </c:numRef>
          </c:cat>
          <c:val>
            <c:numRef>
              <c:f>'AWS 30kt'!$H$24:$H$69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36F3-4E63-8427-AD83E1F23E5C}"/>
            </c:ext>
          </c:extLst>
        </c:ser>
        <c:ser>
          <c:idx val="7"/>
          <c:order val="7"/>
          <c:tx>
            <c:strRef>
              <c:f>'AWS 30kt'!$I$23</c:f>
              <c:strCache>
                <c:ptCount val="1"/>
              </c:strCache>
            </c:strRef>
          </c:tx>
          <c:spPr>
            <a:ln w="15120">
              <a:solidFill>
                <a:srgbClr val="FF98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30kt'!$A$24:$A$69</c:f>
              <c:numCache>
                <c:formatCode>General</c:formatCode>
                <c:ptCount val="46"/>
              </c:numCache>
            </c:numRef>
          </c:cat>
          <c:val>
            <c:numRef>
              <c:f>'AWS 30kt'!$I$24:$I$69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36F3-4E63-8427-AD83E1F23E5C}"/>
            </c:ext>
          </c:extLst>
        </c:ser>
        <c:ser>
          <c:idx val="8"/>
          <c:order val="8"/>
          <c:tx>
            <c:strRef>
              <c:f>'AWS 30kt'!$J$23</c:f>
              <c:strCache>
                <c:ptCount val="1"/>
              </c:strCache>
            </c:strRef>
          </c:tx>
          <c:spPr>
            <a:ln w="15120">
              <a:solidFill>
                <a:srgbClr val="FF572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30kt'!$A$24:$A$69</c:f>
              <c:numCache>
                <c:formatCode>General</c:formatCode>
                <c:ptCount val="46"/>
              </c:numCache>
            </c:numRef>
          </c:cat>
          <c:val>
            <c:numRef>
              <c:f>'AWS 30kt'!$J$24:$J$69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36F3-4E63-8427-AD83E1F23E5C}"/>
            </c:ext>
          </c:extLst>
        </c:ser>
        <c:ser>
          <c:idx val="9"/>
          <c:order val="9"/>
          <c:tx>
            <c:strRef>
              <c:f>'AWS 30kt'!$K$23</c:f>
              <c:strCache>
                <c:ptCount val="1"/>
              </c:strCache>
            </c:strRef>
          </c:tx>
          <c:spPr>
            <a:ln w="15120">
              <a:solidFill>
                <a:srgbClr val="F4433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30kt'!$A$24:$A$69</c:f>
              <c:numCache>
                <c:formatCode>General</c:formatCode>
                <c:ptCount val="46"/>
              </c:numCache>
            </c:numRef>
          </c:cat>
          <c:val>
            <c:numRef>
              <c:f>'AWS 30kt'!$K$24:$K$69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36F3-4E63-8427-AD83E1F23E5C}"/>
            </c:ext>
          </c:extLst>
        </c:ser>
        <c:ser>
          <c:idx val="10"/>
          <c:order val="10"/>
          <c:tx>
            <c:strRef>
              <c:f>'AWS 30kt'!$L$23</c:f>
              <c:strCache>
                <c:ptCount val="1"/>
              </c:strCache>
            </c:strRef>
          </c:tx>
          <c:spPr>
            <a:ln w="15120">
              <a:solidFill>
                <a:srgbClr val="9C27B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30kt'!$A$24:$A$69</c:f>
              <c:numCache>
                <c:formatCode>General</c:formatCode>
                <c:ptCount val="46"/>
              </c:numCache>
            </c:numRef>
          </c:cat>
          <c:val>
            <c:numRef>
              <c:f>'AWS 30kt'!$L$24:$L$69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36F3-4E63-8427-AD83E1F23E5C}"/>
            </c:ext>
          </c:extLst>
        </c:ser>
        <c:ser>
          <c:idx val="11"/>
          <c:order val="11"/>
          <c:tx>
            <c:strRef>
              <c:f>'AWS 30kt'!$M$23</c:f>
              <c:strCache>
                <c:ptCount val="1"/>
              </c:strCache>
            </c:strRef>
          </c:tx>
          <c:spPr>
            <a:ln w="15120">
              <a:solidFill>
                <a:srgbClr val="E91E6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30kt'!$A$24:$A$69</c:f>
              <c:numCache>
                <c:formatCode>General</c:formatCode>
                <c:ptCount val="46"/>
              </c:numCache>
            </c:numRef>
          </c:cat>
          <c:val>
            <c:numRef>
              <c:f>'AWS 30kt'!$M$24:$M$69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36F3-4E63-8427-AD83E1F23E5C}"/>
            </c:ext>
          </c:extLst>
        </c:ser>
        <c:ser>
          <c:idx val="12"/>
          <c:order val="12"/>
          <c:tx>
            <c:strRef>
              <c:f>'AWS 30kt'!$N$23</c:f>
              <c:strCache>
                <c:ptCount val="1"/>
              </c:strCache>
            </c:strRef>
          </c:tx>
          <c:spPr>
            <a:ln w="15120">
              <a:solidFill>
                <a:srgbClr val="7955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30kt'!$A$24:$A$69</c:f>
              <c:numCache>
                <c:formatCode>General</c:formatCode>
                <c:ptCount val="46"/>
              </c:numCache>
            </c:numRef>
          </c:cat>
          <c:val>
            <c:numRef>
              <c:f>'AWS 30kt'!$N$24:$N$69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36F3-4E63-8427-AD83E1F23E5C}"/>
            </c:ext>
          </c:extLst>
        </c:ser>
        <c:ser>
          <c:idx val="13"/>
          <c:order val="13"/>
          <c:tx>
            <c:strRef>
              <c:f>'AWS 30kt'!$O$23</c:f>
              <c:strCache>
                <c:ptCount val="1"/>
              </c:strCache>
            </c:strRef>
          </c:tx>
          <c:spPr>
            <a:ln w="15120">
              <a:solidFill>
                <a:srgbClr val="607D8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30kt'!$A$24:$A$69</c:f>
              <c:numCache>
                <c:formatCode>General</c:formatCode>
                <c:ptCount val="46"/>
              </c:numCache>
            </c:numRef>
          </c:cat>
          <c:val>
            <c:numRef>
              <c:f>'AWS 30kt'!$O$24:$O$69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36F3-4E63-8427-AD83E1F23E5C}"/>
            </c:ext>
          </c:extLst>
        </c:ser>
        <c:ser>
          <c:idx val="14"/>
          <c:order val="14"/>
          <c:tx>
            <c:strRef>
              <c:f>'AWS 30kt'!$P$23</c:f>
              <c:strCache>
                <c:ptCount val="1"/>
              </c:strCache>
            </c:strRef>
          </c:tx>
          <c:spPr>
            <a:ln w="15120">
              <a:solidFill>
                <a:srgbClr val="00968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30kt'!$A$24:$A$69</c:f>
              <c:numCache>
                <c:formatCode>General</c:formatCode>
                <c:ptCount val="46"/>
              </c:numCache>
            </c:numRef>
          </c:cat>
          <c:val>
            <c:numRef>
              <c:f>'AWS 30kt'!$P$24:$P$69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36F3-4E63-8427-AD83E1F23E5C}"/>
            </c:ext>
          </c:extLst>
        </c:ser>
        <c:ser>
          <c:idx val="15"/>
          <c:order val="15"/>
          <c:tx>
            <c:strRef>
              <c:f>'AWS 30kt'!$Q$23</c:f>
              <c:strCache>
                <c:ptCount val="1"/>
              </c:strCache>
            </c:strRef>
          </c:tx>
          <c:spPr>
            <a:ln w="15120">
              <a:solidFill>
                <a:srgbClr val="FF6F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30kt'!$A$24:$A$69</c:f>
              <c:numCache>
                <c:formatCode>General</c:formatCode>
                <c:ptCount val="46"/>
              </c:numCache>
            </c:numRef>
          </c:cat>
          <c:val>
            <c:numRef>
              <c:f>'AWS 30kt'!$Q$24:$Q$69</c:f>
              <c:numCache>
                <c:formatCode>General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36F3-4E63-8427-AD83E1F23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2407446"/>
        <c:axId val="84584256"/>
      </c:lineChart>
      <c:catAx>
        <c:axId val="2240744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AOA (°)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84584256"/>
        <c:crosses val="autoZero"/>
        <c:auto val="1"/>
        <c:lblAlgn val="ctr"/>
        <c:lblOffset val="100"/>
        <c:noMultiLvlLbl val="0"/>
      </c:catAx>
      <c:valAx>
        <c:axId val="845842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224074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Cl = f(AOA) — AWS=35kt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'AWS 35kt'!$B$23</c:f>
              <c:strCache>
                <c:ptCount val="1"/>
              </c:strCache>
            </c:strRef>
          </c:tx>
          <c:spPr>
            <a:ln w="1512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35kt'!$A$24:$A$69</c:f>
              <c:numCache>
                <c:formatCode>General</c:formatCode>
                <c:ptCount val="46"/>
              </c:numCache>
            </c:numRef>
          </c:cat>
          <c:val>
            <c:numRef>
              <c:f>'AWS 35kt'!$B$24:$B$69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4C6-45E1-BF4D-5B5A8E7BF7B0}"/>
            </c:ext>
          </c:extLst>
        </c:ser>
        <c:ser>
          <c:idx val="1"/>
          <c:order val="1"/>
          <c:tx>
            <c:strRef>
              <c:f>'AWS 35kt'!$C$23</c:f>
              <c:strCache>
                <c:ptCount val="1"/>
              </c:strCache>
            </c:strRef>
          </c:tx>
          <c:spPr>
            <a:ln w="15120">
              <a:solidFill>
                <a:srgbClr val="2196F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35kt'!$A$24:$A$69</c:f>
              <c:numCache>
                <c:formatCode>General</c:formatCode>
                <c:ptCount val="46"/>
              </c:numCache>
            </c:numRef>
          </c:cat>
          <c:val>
            <c:numRef>
              <c:f>'AWS 35kt'!$C$24:$C$69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4C6-45E1-BF4D-5B5A8E7BF7B0}"/>
            </c:ext>
          </c:extLst>
        </c:ser>
        <c:ser>
          <c:idx val="2"/>
          <c:order val="2"/>
          <c:tx>
            <c:strRef>
              <c:f>'AWS 35kt'!$D$23</c:f>
              <c:strCache>
                <c:ptCount val="1"/>
              </c:strCache>
            </c:strRef>
          </c:tx>
          <c:spPr>
            <a:ln w="15120">
              <a:solidFill>
                <a:srgbClr val="00BCD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35kt'!$A$24:$A$69</c:f>
              <c:numCache>
                <c:formatCode>General</c:formatCode>
                <c:ptCount val="46"/>
              </c:numCache>
            </c:numRef>
          </c:cat>
          <c:val>
            <c:numRef>
              <c:f>'AWS 35kt'!$D$24:$D$69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4C6-45E1-BF4D-5B5A8E7BF7B0}"/>
            </c:ext>
          </c:extLst>
        </c:ser>
        <c:ser>
          <c:idx val="3"/>
          <c:order val="3"/>
          <c:tx>
            <c:strRef>
              <c:f>'AWS 35kt'!$E$23</c:f>
              <c:strCache>
                <c:ptCount val="1"/>
              </c:strCache>
            </c:strRef>
          </c:tx>
          <c:spPr>
            <a:ln w="15120">
              <a:solidFill>
                <a:srgbClr val="4CAF5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35kt'!$A$24:$A$69</c:f>
              <c:numCache>
                <c:formatCode>General</c:formatCode>
                <c:ptCount val="46"/>
              </c:numCache>
            </c:numRef>
          </c:cat>
          <c:val>
            <c:numRef>
              <c:f>'AWS 35kt'!$E$24:$E$69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4C6-45E1-BF4D-5B5A8E7BF7B0}"/>
            </c:ext>
          </c:extLst>
        </c:ser>
        <c:ser>
          <c:idx val="4"/>
          <c:order val="4"/>
          <c:tx>
            <c:strRef>
              <c:f>'AWS 35kt'!$F$23</c:f>
              <c:strCache>
                <c:ptCount val="1"/>
              </c:strCache>
            </c:strRef>
          </c:tx>
          <c:spPr>
            <a:ln w="15120">
              <a:solidFill>
                <a:srgbClr val="8BC34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35kt'!$A$24:$A$69</c:f>
              <c:numCache>
                <c:formatCode>General</c:formatCode>
                <c:ptCount val="46"/>
              </c:numCache>
            </c:numRef>
          </c:cat>
          <c:val>
            <c:numRef>
              <c:f>'AWS 35kt'!$F$24:$F$69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E4C6-45E1-BF4D-5B5A8E7BF7B0}"/>
            </c:ext>
          </c:extLst>
        </c:ser>
        <c:ser>
          <c:idx val="5"/>
          <c:order val="5"/>
          <c:tx>
            <c:strRef>
              <c:f>'AWS 35kt'!$G$23</c:f>
              <c:strCache>
                <c:ptCount val="1"/>
              </c:strCache>
            </c:strRef>
          </c:tx>
          <c:spPr>
            <a:ln w="15120">
              <a:solidFill>
                <a:srgbClr val="CDDC3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35kt'!$A$24:$A$69</c:f>
              <c:numCache>
                <c:formatCode>General</c:formatCode>
                <c:ptCount val="46"/>
              </c:numCache>
            </c:numRef>
          </c:cat>
          <c:val>
            <c:numRef>
              <c:f>'AWS 35kt'!$G$24:$G$69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E4C6-45E1-BF4D-5B5A8E7BF7B0}"/>
            </c:ext>
          </c:extLst>
        </c:ser>
        <c:ser>
          <c:idx val="6"/>
          <c:order val="6"/>
          <c:tx>
            <c:strRef>
              <c:f>'AWS 35kt'!$H$23</c:f>
              <c:strCache>
                <c:ptCount val="1"/>
              </c:strCache>
            </c:strRef>
          </c:tx>
          <c:spPr>
            <a:ln w="15120">
              <a:solidFill>
                <a:srgbClr val="FFC10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35kt'!$A$24:$A$69</c:f>
              <c:numCache>
                <c:formatCode>General</c:formatCode>
                <c:ptCount val="46"/>
              </c:numCache>
            </c:numRef>
          </c:cat>
          <c:val>
            <c:numRef>
              <c:f>'AWS 35kt'!$H$24:$H$69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E4C6-45E1-BF4D-5B5A8E7BF7B0}"/>
            </c:ext>
          </c:extLst>
        </c:ser>
        <c:ser>
          <c:idx val="7"/>
          <c:order val="7"/>
          <c:tx>
            <c:strRef>
              <c:f>'AWS 35kt'!$I$23</c:f>
              <c:strCache>
                <c:ptCount val="1"/>
              </c:strCache>
            </c:strRef>
          </c:tx>
          <c:spPr>
            <a:ln w="15120">
              <a:solidFill>
                <a:srgbClr val="FF98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35kt'!$A$24:$A$69</c:f>
              <c:numCache>
                <c:formatCode>General</c:formatCode>
                <c:ptCount val="46"/>
              </c:numCache>
            </c:numRef>
          </c:cat>
          <c:val>
            <c:numRef>
              <c:f>'AWS 35kt'!$I$24:$I$69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E4C6-45E1-BF4D-5B5A8E7BF7B0}"/>
            </c:ext>
          </c:extLst>
        </c:ser>
        <c:ser>
          <c:idx val="8"/>
          <c:order val="8"/>
          <c:tx>
            <c:strRef>
              <c:f>'AWS 35kt'!$J$23</c:f>
              <c:strCache>
                <c:ptCount val="1"/>
              </c:strCache>
            </c:strRef>
          </c:tx>
          <c:spPr>
            <a:ln w="15120">
              <a:solidFill>
                <a:srgbClr val="FF572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35kt'!$A$24:$A$69</c:f>
              <c:numCache>
                <c:formatCode>General</c:formatCode>
                <c:ptCount val="46"/>
              </c:numCache>
            </c:numRef>
          </c:cat>
          <c:val>
            <c:numRef>
              <c:f>'AWS 35kt'!$J$24:$J$69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E4C6-45E1-BF4D-5B5A8E7BF7B0}"/>
            </c:ext>
          </c:extLst>
        </c:ser>
        <c:ser>
          <c:idx val="9"/>
          <c:order val="9"/>
          <c:tx>
            <c:strRef>
              <c:f>'AWS 35kt'!$K$23</c:f>
              <c:strCache>
                <c:ptCount val="1"/>
              </c:strCache>
            </c:strRef>
          </c:tx>
          <c:spPr>
            <a:ln w="15120">
              <a:solidFill>
                <a:srgbClr val="F4433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35kt'!$A$24:$A$69</c:f>
              <c:numCache>
                <c:formatCode>General</c:formatCode>
                <c:ptCount val="46"/>
              </c:numCache>
            </c:numRef>
          </c:cat>
          <c:val>
            <c:numRef>
              <c:f>'AWS 35kt'!$K$24:$K$69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E4C6-45E1-BF4D-5B5A8E7BF7B0}"/>
            </c:ext>
          </c:extLst>
        </c:ser>
        <c:ser>
          <c:idx val="10"/>
          <c:order val="10"/>
          <c:tx>
            <c:strRef>
              <c:f>'AWS 35kt'!$L$23</c:f>
              <c:strCache>
                <c:ptCount val="1"/>
              </c:strCache>
            </c:strRef>
          </c:tx>
          <c:spPr>
            <a:ln w="15120">
              <a:solidFill>
                <a:srgbClr val="9C27B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35kt'!$A$24:$A$69</c:f>
              <c:numCache>
                <c:formatCode>General</c:formatCode>
                <c:ptCount val="46"/>
              </c:numCache>
            </c:numRef>
          </c:cat>
          <c:val>
            <c:numRef>
              <c:f>'AWS 35kt'!$L$24:$L$69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E4C6-45E1-BF4D-5B5A8E7BF7B0}"/>
            </c:ext>
          </c:extLst>
        </c:ser>
        <c:ser>
          <c:idx val="11"/>
          <c:order val="11"/>
          <c:tx>
            <c:strRef>
              <c:f>'AWS 35kt'!$M$23</c:f>
              <c:strCache>
                <c:ptCount val="1"/>
              </c:strCache>
            </c:strRef>
          </c:tx>
          <c:spPr>
            <a:ln w="15120">
              <a:solidFill>
                <a:srgbClr val="E91E6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35kt'!$A$24:$A$69</c:f>
              <c:numCache>
                <c:formatCode>General</c:formatCode>
                <c:ptCount val="46"/>
              </c:numCache>
            </c:numRef>
          </c:cat>
          <c:val>
            <c:numRef>
              <c:f>'AWS 35kt'!$M$24:$M$69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E4C6-45E1-BF4D-5B5A8E7BF7B0}"/>
            </c:ext>
          </c:extLst>
        </c:ser>
        <c:ser>
          <c:idx val="12"/>
          <c:order val="12"/>
          <c:tx>
            <c:strRef>
              <c:f>'AWS 35kt'!$N$23</c:f>
              <c:strCache>
                <c:ptCount val="1"/>
              </c:strCache>
            </c:strRef>
          </c:tx>
          <c:spPr>
            <a:ln w="15120">
              <a:solidFill>
                <a:srgbClr val="7955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35kt'!$A$24:$A$69</c:f>
              <c:numCache>
                <c:formatCode>General</c:formatCode>
                <c:ptCount val="46"/>
              </c:numCache>
            </c:numRef>
          </c:cat>
          <c:val>
            <c:numRef>
              <c:f>'AWS 35kt'!$N$24:$N$69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E4C6-45E1-BF4D-5B5A8E7BF7B0}"/>
            </c:ext>
          </c:extLst>
        </c:ser>
        <c:ser>
          <c:idx val="13"/>
          <c:order val="13"/>
          <c:tx>
            <c:strRef>
              <c:f>'AWS 35kt'!$O$23</c:f>
              <c:strCache>
                <c:ptCount val="1"/>
              </c:strCache>
            </c:strRef>
          </c:tx>
          <c:spPr>
            <a:ln w="15120">
              <a:solidFill>
                <a:srgbClr val="607D8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35kt'!$A$24:$A$69</c:f>
              <c:numCache>
                <c:formatCode>General</c:formatCode>
                <c:ptCount val="46"/>
              </c:numCache>
            </c:numRef>
          </c:cat>
          <c:val>
            <c:numRef>
              <c:f>'AWS 35kt'!$O$24:$O$69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E4C6-45E1-BF4D-5B5A8E7BF7B0}"/>
            </c:ext>
          </c:extLst>
        </c:ser>
        <c:ser>
          <c:idx val="14"/>
          <c:order val="14"/>
          <c:tx>
            <c:strRef>
              <c:f>'AWS 35kt'!$P$23</c:f>
              <c:strCache>
                <c:ptCount val="1"/>
              </c:strCache>
            </c:strRef>
          </c:tx>
          <c:spPr>
            <a:ln w="15120">
              <a:solidFill>
                <a:srgbClr val="00968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35kt'!$A$24:$A$69</c:f>
              <c:numCache>
                <c:formatCode>General</c:formatCode>
                <c:ptCount val="46"/>
              </c:numCache>
            </c:numRef>
          </c:cat>
          <c:val>
            <c:numRef>
              <c:f>'AWS 35kt'!$P$24:$P$69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E4C6-45E1-BF4D-5B5A8E7BF7B0}"/>
            </c:ext>
          </c:extLst>
        </c:ser>
        <c:ser>
          <c:idx val="15"/>
          <c:order val="15"/>
          <c:tx>
            <c:strRef>
              <c:f>'AWS 35kt'!$Q$23</c:f>
              <c:strCache>
                <c:ptCount val="1"/>
              </c:strCache>
            </c:strRef>
          </c:tx>
          <c:spPr>
            <a:ln w="15120">
              <a:solidFill>
                <a:srgbClr val="FF6F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35kt'!$A$24:$A$69</c:f>
              <c:numCache>
                <c:formatCode>General</c:formatCode>
                <c:ptCount val="46"/>
              </c:numCache>
            </c:numRef>
          </c:cat>
          <c:val>
            <c:numRef>
              <c:f>'AWS 35kt'!$Q$24:$Q$69</c:f>
              <c:numCache>
                <c:formatCode>General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E4C6-45E1-BF4D-5B5A8E7BF7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7764819"/>
        <c:axId val="86790507"/>
      </c:lineChart>
      <c:catAx>
        <c:axId val="3776481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AOA (°)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86790507"/>
        <c:crosses val="autoZero"/>
        <c:auto val="1"/>
        <c:lblAlgn val="ctr"/>
        <c:lblOffset val="100"/>
        <c:noMultiLvlLbl val="0"/>
      </c:catAx>
      <c:valAx>
        <c:axId val="867905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Cl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377648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Cl = f(AOA) — AWS=40kt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'AWS 40kt'!$B$23</c:f>
              <c:strCache>
                <c:ptCount val="1"/>
              </c:strCache>
            </c:strRef>
          </c:tx>
          <c:spPr>
            <a:ln w="1512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40kt'!$A$24:$A$69</c:f>
              <c:numCache>
                <c:formatCode>General</c:formatCode>
                <c:ptCount val="46"/>
              </c:numCache>
            </c:numRef>
          </c:cat>
          <c:val>
            <c:numRef>
              <c:f>'AWS 40kt'!$B$24:$B$69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101-48B6-ADB8-BFFD1A8C53FC}"/>
            </c:ext>
          </c:extLst>
        </c:ser>
        <c:ser>
          <c:idx val="1"/>
          <c:order val="1"/>
          <c:tx>
            <c:strRef>
              <c:f>'AWS 40kt'!$C$23</c:f>
              <c:strCache>
                <c:ptCount val="1"/>
              </c:strCache>
            </c:strRef>
          </c:tx>
          <c:spPr>
            <a:ln w="15120">
              <a:solidFill>
                <a:srgbClr val="2196F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40kt'!$A$24:$A$69</c:f>
              <c:numCache>
                <c:formatCode>General</c:formatCode>
                <c:ptCount val="46"/>
              </c:numCache>
            </c:numRef>
          </c:cat>
          <c:val>
            <c:numRef>
              <c:f>'AWS 40kt'!$C$24:$C$69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101-48B6-ADB8-BFFD1A8C53FC}"/>
            </c:ext>
          </c:extLst>
        </c:ser>
        <c:ser>
          <c:idx val="2"/>
          <c:order val="2"/>
          <c:tx>
            <c:strRef>
              <c:f>'AWS 40kt'!$D$23</c:f>
              <c:strCache>
                <c:ptCount val="1"/>
              </c:strCache>
            </c:strRef>
          </c:tx>
          <c:spPr>
            <a:ln w="15120">
              <a:solidFill>
                <a:srgbClr val="00BCD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40kt'!$A$24:$A$69</c:f>
              <c:numCache>
                <c:formatCode>General</c:formatCode>
                <c:ptCount val="46"/>
              </c:numCache>
            </c:numRef>
          </c:cat>
          <c:val>
            <c:numRef>
              <c:f>'AWS 40kt'!$D$24:$D$69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101-48B6-ADB8-BFFD1A8C53FC}"/>
            </c:ext>
          </c:extLst>
        </c:ser>
        <c:ser>
          <c:idx val="3"/>
          <c:order val="3"/>
          <c:tx>
            <c:strRef>
              <c:f>'AWS 40kt'!$E$23</c:f>
              <c:strCache>
                <c:ptCount val="1"/>
              </c:strCache>
            </c:strRef>
          </c:tx>
          <c:spPr>
            <a:ln w="15120">
              <a:solidFill>
                <a:srgbClr val="4CAF5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40kt'!$A$24:$A$69</c:f>
              <c:numCache>
                <c:formatCode>General</c:formatCode>
                <c:ptCount val="46"/>
              </c:numCache>
            </c:numRef>
          </c:cat>
          <c:val>
            <c:numRef>
              <c:f>'AWS 40kt'!$E$24:$E$69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0101-48B6-ADB8-BFFD1A8C53FC}"/>
            </c:ext>
          </c:extLst>
        </c:ser>
        <c:ser>
          <c:idx val="4"/>
          <c:order val="4"/>
          <c:tx>
            <c:strRef>
              <c:f>'AWS 40kt'!$F$23</c:f>
              <c:strCache>
                <c:ptCount val="1"/>
              </c:strCache>
            </c:strRef>
          </c:tx>
          <c:spPr>
            <a:ln w="15120">
              <a:solidFill>
                <a:srgbClr val="8BC34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40kt'!$A$24:$A$69</c:f>
              <c:numCache>
                <c:formatCode>General</c:formatCode>
                <c:ptCount val="46"/>
              </c:numCache>
            </c:numRef>
          </c:cat>
          <c:val>
            <c:numRef>
              <c:f>'AWS 40kt'!$F$24:$F$69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0101-48B6-ADB8-BFFD1A8C53FC}"/>
            </c:ext>
          </c:extLst>
        </c:ser>
        <c:ser>
          <c:idx val="5"/>
          <c:order val="5"/>
          <c:tx>
            <c:strRef>
              <c:f>'AWS 40kt'!$G$23</c:f>
              <c:strCache>
                <c:ptCount val="1"/>
              </c:strCache>
            </c:strRef>
          </c:tx>
          <c:spPr>
            <a:ln w="15120">
              <a:solidFill>
                <a:srgbClr val="CDDC3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40kt'!$A$24:$A$69</c:f>
              <c:numCache>
                <c:formatCode>General</c:formatCode>
                <c:ptCount val="46"/>
              </c:numCache>
            </c:numRef>
          </c:cat>
          <c:val>
            <c:numRef>
              <c:f>'AWS 40kt'!$G$24:$G$69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0101-48B6-ADB8-BFFD1A8C53FC}"/>
            </c:ext>
          </c:extLst>
        </c:ser>
        <c:ser>
          <c:idx val="6"/>
          <c:order val="6"/>
          <c:tx>
            <c:strRef>
              <c:f>'AWS 40kt'!$H$23</c:f>
              <c:strCache>
                <c:ptCount val="1"/>
              </c:strCache>
            </c:strRef>
          </c:tx>
          <c:spPr>
            <a:ln w="15120">
              <a:solidFill>
                <a:srgbClr val="FFC10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40kt'!$A$24:$A$69</c:f>
              <c:numCache>
                <c:formatCode>General</c:formatCode>
                <c:ptCount val="46"/>
              </c:numCache>
            </c:numRef>
          </c:cat>
          <c:val>
            <c:numRef>
              <c:f>'AWS 40kt'!$H$24:$H$69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0101-48B6-ADB8-BFFD1A8C53FC}"/>
            </c:ext>
          </c:extLst>
        </c:ser>
        <c:ser>
          <c:idx val="7"/>
          <c:order val="7"/>
          <c:tx>
            <c:strRef>
              <c:f>'AWS 40kt'!$I$23</c:f>
              <c:strCache>
                <c:ptCount val="1"/>
              </c:strCache>
            </c:strRef>
          </c:tx>
          <c:spPr>
            <a:ln w="15120">
              <a:solidFill>
                <a:srgbClr val="FF98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40kt'!$A$24:$A$69</c:f>
              <c:numCache>
                <c:formatCode>General</c:formatCode>
                <c:ptCount val="46"/>
              </c:numCache>
            </c:numRef>
          </c:cat>
          <c:val>
            <c:numRef>
              <c:f>'AWS 40kt'!$I$24:$I$69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0101-48B6-ADB8-BFFD1A8C53FC}"/>
            </c:ext>
          </c:extLst>
        </c:ser>
        <c:ser>
          <c:idx val="8"/>
          <c:order val="8"/>
          <c:tx>
            <c:strRef>
              <c:f>'AWS 40kt'!$J$23</c:f>
              <c:strCache>
                <c:ptCount val="1"/>
              </c:strCache>
            </c:strRef>
          </c:tx>
          <c:spPr>
            <a:ln w="15120">
              <a:solidFill>
                <a:srgbClr val="FF572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40kt'!$A$24:$A$69</c:f>
              <c:numCache>
                <c:formatCode>General</c:formatCode>
                <c:ptCount val="46"/>
              </c:numCache>
            </c:numRef>
          </c:cat>
          <c:val>
            <c:numRef>
              <c:f>'AWS 40kt'!$J$24:$J$69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0101-48B6-ADB8-BFFD1A8C53FC}"/>
            </c:ext>
          </c:extLst>
        </c:ser>
        <c:ser>
          <c:idx val="9"/>
          <c:order val="9"/>
          <c:tx>
            <c:strRef>
              <c:f>'AWS 40kt'!$K$23</c:f>
              <c:strCache>
                <c:ptCount val="1"/>
              </c:strCache>
            </c:strRef>
          </c:tx>
          <c:spPr>
            <a:ln w="15120">
              <a:solidFill>
                <a:srgbClr val="F4433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40kt'!$A$24:$A$69</c:f>
              <c:numCache>
                <c:formatCode>General</c:formatCode>
                <c:ptCount val="46"/>
              </c:numCache>
            </c:numRef>
          </c:cat>
          <c:val>
            <c:numRef>
              <c:f>'AWS 40kt'!$K$24:$K$69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0101-48B6-ADB8-BFFD1A8C53FC}"/>
            </c:ext>
          </c:extLst>
        </c:ser>
        <c:ser>
          <c:idx val="10"/>
          <c:order val="10"/>
          <c:tx>
            <c:strRef>
              <c:f>'AWS 40kt'!$L$23</c:f>
              <c:strCache>
                <c:ptCount val="1"/>
              </c:strCache>
            </c:strRef>
          </c:tx>
          <c:spPr>
            <a:ln w="15120">
              <a:solidFill>
                <a:srgbClr val="9C27B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40kt'!$A$24:$A$69</c:f>
              <c:numCache>
                <c:formatCode>General</c:formatCode>
                <c:ptCount val="46"/>
              </c:numCache>
            </c:numRef>
          </c:cat>
          <c:val>
            <c:numRef>
              <c:f>'AWS 40kt'!$L$24:$L$69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0101-48B6-ADB8-BFFD1A8C53FC}"/>
            </c:ext>
          </c:extLst>
        </c:ser>
        <c:ser>
          <c:idx val="11"/>
          <c:order val="11"/>
          <c:tx>
            <c:strRef>
              <c:f>'AWS 40kt'!$M$23</c:f>
              <c:strCache>
                <c:ptCount val="1"/>
              </c:strCache>
            </c:strRef>
          </c:tx>
          <c:spPr>
            <a:ln w="15120">
              <a:solidFill>
                <a:srgbClr val="E91E6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40kt'!$A$24:$A$69</c:f>
              <c:numCache>
                <c:formatCode>General</c:formatCode>
                <c:ptCount val="46"/>
              </c:numCache>
            </c:numRef>
          </c:cat>
          <c:val>
            <c:numRef>
              <c:f>'AWS 40kt'!$M$24:$M$69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0101-48B6-ADB8-BFFD1A8C53FC}"/>
            </c:ext>
          </c:extLst>
        </c:ser>
        <c:ser>
          <c:idx val="12"/>
          <c:order val="12"/>
          <c:tx>
            <c:strRef>
              <c:f>'AWS 40kt'!$N$23</c:f>
              <c:strCache>
                <c:ptCount val="1"/>
              </c:strCache>
            </c:strRef>
          </c:tx>
          <c:spPr>
            <a:ln w="15120">
              <a:solidFill>
                <a:srgbClr val="7955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40kt'!$A$24:$A$69</c:f>
              <c:numCache>
                <c:formatCode>General</c:formatCode>
                <c:ptCount val="46"/>
              </c:numCache>
            </c:numRef>
          </c:cat>
          <c:val>
            <c:numRef>
              <c:f>'AWS 40kt'!$N$24:$N$69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0101-48B6-ADB8-BFFD1A8C53FC}"/>
            </c:ext>
          </c:extLst>
        </c:ser>
        <c:ser>
          <c:idx val="13"/>
          <c:order val="13"/>
          <c:tx>
            <c:strRef>
              <c:f>'AWS 40kt'!$O$23</c:f>
              <c:strCache>
                <c:ptCount val="1"/>
              </c:strCache>
            </c:strRef>
          </c:tx>
          <c:spPr>
            <a:ln w="15120">
              <a:solidFill>
                <a:srgbClr val="607D8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40kt'!$A$24:$A$69</c:f>
              <c:numCache>
                <c:formatCode>General</c:formatCode>
                <c:ptCount val="46"/>
              </c:numCache>
            </c:numRef>
          </c:cat>
          <c:val>
            <c:numRef>
              <c:f>'AWS 40kt'!$O$24:$O$69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0101-48B6-ADB8-BFFD1A8C53FC}"/>
            </c:ext>
          </c:extLst>
        </c:ser>
        <c:ser>
          <c:idx val="14"/>
          <c:order val="14"/>
          <c:tx>
            <c:strRef>
              <c:f>'AWS 40kt'!$P$23</c:f>
              <c:strCache>
                <c:ptCount val="1"/>
              </c:strCache>
            </c:strRef>
          </c:tx>
          <c:spPr>
            <a:ln w="15120">
              <a:solidFill>
                <a:srgbClr val="00968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40kt'!$A$24:$A$69</c:f>
              <c:numCache>
                <c:formatCode>General</c:formatCode>
                <c:ptCount val="46"/>
              </c:numCache>
            </c:numRef>
          </c:cat>
          <c:val>
            <c:numRef>
              <c:f>'AWS 40kt'!$P$24:$P$69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0101-48B6-ADB8-BFFD1A8C53FC}"/>
            </c:ext>
          </c:extLst>
        </c:ser>
        <c:ser>
          <c:idx val="15"/>
          <c:order val="15"/>
          <c:tx>
            <c:strRef>
              <c:f>'AWS 40kt'!$Q$23</c:f>
              <c:strCache>
                <c:ptCount val="1"/>
              </c:strCache>
            </c:strRef>
          </c:tx>
          <c:spPr>
            <a:ln w="15120">
              <a:solidFill>
                <a:srgbClr val="FF6F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40kt'!$A$24:$A$69</c:f>
              <c:numCache>
                <c:formatCode>General</c:formatCode>
                <c:ptCount val="46"/>
              </c:numCache>
            </c:numRef>
          </c:cat>
          <c:val>
            <c:numRef>
              <c:f>'AWS 40kt'!$Q$24:$Q$69</c:f>
              <c:numCache>
                <c:formatCode>General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0101-48B6-ADB8-BFFD1A8C5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5890728"/>
        <c:axId val="7076718"/>
      </c:lineChart>
      <c:catAx>
        <c:axId val="458907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AOA (°)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7076718"/>
        <c:crosses val="autoZero"/>
        <c:auto val="1"/>
        <c:lblAlgn val="ctr"/>
        <c:lblOffset val="100"/>
        <c:noMultiLvlLbl val="0"/>
      </c:catAx>
      <c:valAx>
        <c:axId val="70767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458907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Cl = f(AOA) — AWS=45kt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'AWS 45kt'!$B$23</c:f>
              <c:strCache>
                <c:ptCount val="1"/>
              </c:strCache>
            </c:strRef>
          </c:tx>
          <c:spPr>
            <a:ln w="1512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45kt'!$A$24:$A$69</c:f>
              <c:numCache>
                <c:formatCode>General</c:formatCode>
                <c:ptCount val="46"/>
              </c:numCache>
            </c:numRef>
          </c:cat>
          <c:val>
            <c:numRef>
              <c:f>'AWS 45kt'!$B$24:$B$69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EB0-44FB-A87B-F08C2F40ADC4}"/>
            </c:ext>
          </c:extLst>
        </c:ser>
        <c:ser>
          <c:idx val="1"/>
          <c:order val="1"/>
          <c:tx>
            <c:strRef>
              <c:f>'AWS 45kt'!$C$23</c:f>
              <c:strCache>
                <c:ptCount val="1"/>
              </c:strCache>
            </c:strRef>
          </c:tx>
          <c:spPr>
            <a:ln w="15120">
              <a:solidFill>
                <a:srgbClr val="2196F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45kt'!$A$24:$A$69</c:f>
              <c:numCache>
                <c:formatCode>General</c:formatCode>
                <c:ptCount val="46"/>
              </c:numCache>
            </c:numRef>
          </c:cat>
          <c:val>
            <c:numRef>
              <c:f>'AWS 45kt'!$C$24:$C$69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EB0-44FB-A87B-F08C2F40ADC4}"/>
            </c:ext>
          </c:extLst>
        </c:ser>
        <c:ser>
          <c:idx val="2"/>
          <c:order val="2"/>
          <c:tx>
            <c:strRef>
              <c:f>'AWS 45kt'!$D$23</c:f>
              <c:strCache>
                <c:ptCount val="1"/>
              </c:strCache>
            </c:strRef>
          </c:tx>
          <c:spPr>
            <a:ln w="15120">
              <a:solidFill>
                <a:srgbClr val="00BCD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45kt'!$A$24:$A$69</c:f>
              <c:numCache>
                <c:formatCode>General</c:formatCode>
                <c:ptCount val="46"/>
              </c:numCache>
            </c:numRef>
          </c:cat>
          <c:val>
            <c:numRef>
              <c:f>'AWS 45kt'!$D$24:$D$69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EB0-44FB-A87B-F08C2F40ADC4}"/>
            </c:ext>
          </c:extLst>
        </c:ser>
        <c:ser>
          <c:idx val="3"/>
          <c:order val="3"/>
          <c:tx>
            <c:strRef>
              <c:f>'AWS 45kt'!$E$23</c:f>
              <c:strCache>
                <c:ptCount val="1"/>
              </c:strCache>
            </c:strRef>
          </c:tx>
          <c:spPr>
            <a:ln w="15120">
              <a:solidFill>
                <a:srgbClr val="4CAF5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45kt'!$A$24:$A$69</c:f>
              <c:numCache>
                <c:formatCode>General</c:formatCode>
                <c:ptCount val="46"/>
              </c:numCache>
            </c:numRef>
          </c:cat>
          <c:val>
            <c:numRef>
              <c:f>'AWS 45kt'!$E$24:$E$69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0EB0-44FB-A87B-F08C2F40ADC4}"/>
            </c:ext>
          </c:extLst>
        </c:ser>
        <c:ser>
          <c:idx val="4"/>
          <c:order val="4"/>
          <c:tx>
            <c:strRef>
              <c:f>'AWS 45kt'!$F$23</c:f>
              <c:strCache>
                <c:ptCount val="1"/>
              </c:strCache>
            </c:strRef>
          </c:tx>
          <c:spPr>
            <a:ln w="15120">
              <a:solidFill>
                <a:srgbClr val="8BC34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45kt'!$A$24:$A$69</c:f>
              <c:numCache>
                <c:formatCode>General</c:formatCode>
                <c:ptCount val="46"/>
              </c:numCache>
            </c:numRef>
          </c:cat>
          <c:val>
            <c:numRef>
              <c:f>'AWS 45kt'!$F$24:$F$69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0EB0-44FB-A87B-F08C2F40ADC4}"/>
            </c:ext>
          </c:extLst>
        </c:ser>
        <c:ser>
          <c:idx val="5"/>
          <c:order val="5"/>
          <c:tx>
            <c:strRef>
              <c:f>'AWS 45kt'!$G$23</c:f>
              <c:strCache>
                <c:ptCount val="1"/>
              </c:strCache>
            </c:strRef>
          </c:tx>
          <c:spPr>
            <a:ln w="15120">
              <a:solidFill>
                <a:srgbClr val="CDDC3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45kt'!$A$24:$A$69</c:f>
              <c:numCache>
                <c:formatCode>General</c:formatCode>
                <c:ptCount val="46"/>
              </c:numCache>
            </c:numRef>
          </c:cat>
          <c:val>
            <c:numRef>
              <c:f>'AWS 45kt'!$G$24:$G$69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0EB0-44FB-A87B-F08C2F40ADC4}"/>
            </c:ext>
          </c:extLst>
        </c:ser>
        <c:ser>
          <c:idx val="6"/>
          <c:order val="6"/>
          <c:tx>
            <c:strRef>
              <c:f>'AWS 45kt'!$H$23</c:f>
              <c:strCache>
                <c:ptCount val="1"/>
              </c:strCache>
            </c:strRef>
          </c:tx>
          <c:spPr>
            <a:ln w="15120">
              <a:solidFill>
                <a:srgbClr val="FFC10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45kt'!$A$24:$A$69</c:f>
              <c:numCache>
                <c:formatCode>General</c:formatCode>
                <c:ptCount val="46"/>
              </c:numCache>
            </c:numRef>
          </c:cat>
          <c:val>
            <c:numRef>
              <c:f>'AWS 45kt'!$H$24:$H$69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0EB0-44FB-A87B-F08C2F40ADC4}"/>
            </c:ext>
          </c:extLst>
        </c:ser>
        <c:ser>
          <c:idx val="7"/>
          <c:order val="7"/>
          <c:tx>
            <c:strRef>
              <c:f>'AWS 45kt'!$I$23</c:f>
              <c:strCache>
                <c:ptCount val="1"/>
              </c:strCache>
            </c:strRef>
          </c:tx>
          <c:spPr>
            <a:ln w="15120">
              <a:solidFill>
                <a:srgbClr val="FF98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45kt'!$A$24:$A$69</c:f>
              <c:numCache>
                <c:formatCode>General</c:formatCode>
                <c:ptCount val="46"/>
              </c:numCache>
            </c:numRef>
          </c:cat>
          <c:val>
            <c:numRef>
              <c:f>'AWS 45kt'!$I$24:$I$69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0EB0-44FB-A87B-F08C2F40ADC4}"/>
            </c:ext>
          </c:extLst>
        </c:ser>
        <c:ser>
          <c:idx val="8"/>
          <c:order val="8"/>
          <c:tx>
            <c:strRef>
              <c:f>'AWS 45kt'!$J$23</c:f>
              <c:strCache>
                <c:ptCount val="1"/>
              </c:strCache>
            </c:strRef>
          </c:tx>
          <c:spPr>
            <a:ln w="15120">
              <a:solidFill>
                <a:srgbClr val="FF572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45kt'!$A$24:$A$69</c:f>
              <c:numCache>
                <c:formatCode>General</c:formatCode>
                <c:ptCount val="46"/>
              </c:numCache>
            </c:numRef>
          </c:cat>
          <c:val>
            <c:numRef>
              <c:f>'AWS 45kt'!$J$24:$J$69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0EB0-44FB-A87B-F08C2F40ADC4}"/>
            </c:ext>
          </c:extLst>
        </c:ser>
        <c:ser>
          <c:idx val="9"/>
          <c:order val="9"/>
          <c:tx>
            <c:strRef>
              <c:f>'AWS 45kt'!$K$23</c:f>
              <c:strCache>
                <c:ptCount val="1"/>
              </c:strCache>
            </c:strRef>
          </c:tx>
          <c:spPr>
            <a:ln w="15120">
              <a:solidFill>
                <a:srgbClr val="F4433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45kt'!$A$24:$A$69</c:f>
              <c:numCache>
                <c:formatCode>General</c:formatCode>
                <c:ptCount val="46"/>
              </c:numCache>
            </c:numRef>
          </c:cat>
          <c:val>
            <c:numRef>
              <c:f>'AWS 45kt'!$K$24:$K$69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0EB0-44FB-A87B-F08C2F40ADC4}"/>
            </c:ext>
          </c:extLst>
        </c:ser>
        <c:ser>
          <c:idx val="10"/>
          <c:order val="10"/>
          <c:tx>
            <c:strRef>
              <c:f>'AWS 45kt'!$L$23</c:f>
              <c:strCache>
                <c:ptCount val="1"/>
              </c:strCache>
            </c:strRef>
          </c:tx>
          <c:spPr>
            <a:ln w="15120">
              <a:solidFill>
                <a:srgbClr val="9C27B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45kt'!$A$24:$A$69</c:f>
              <c:numCache>
                <c:formatCode>General</c:formatCode>
                <c:ptCount val="46"/>
              </c:numCache>
            </c:numRef>
          </c:cat>
          <c:val>
            <c:numRef>
              <c:f>'AWS 45kt'!$L$24:$L$69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0EB0-44FB-A87B-F08C2F40ADC4}"/>
            </c:ext>
          </c:extLst>
        </c:ser>
        <c:ser>
          <c:idx val="11"/>
          <c:order val="11"/>
          <c:tx>
            <c:strRef>
              <c:f>'AWS 45kt'!$M$23</c:f>
              <c:strCache>
                <c:ptCount val="1"/>
              </c:strCache>
            </c:strRef>
          </c:tx>
          <c:spPr>
            <a:ln w="15120">
              <a:solidFill>
                <a:srgbClr val="E91E6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45kt'!$A$24:$A$69</c:f>
              <c:numCache>
                <c:formatCode>General</c:formatCode>
                <c:ptCount val="46"/>
              </c:numCache>
            </c:numRef>
          </c:cat>
          <c:val>
            <c:numRef>
              <c:f>'AWS 45kt'!$M$24:$M$69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0EB0-44FB-A87B-F08C2F40ADC4}"/>
            </c:ext>
          </c:extLst>
        </c:ser>
        <c:ser>
          <c:idx val="12"/>
          <c:order val="12"/>
          <c:tx>
            <c:strRef>
              <c:f>'AWS 45kt'!$N$23</c:f>
              <c:strCache>
                <c:ptCount val="1"/>
              </c:strCache>
            </c:strRef>
          </c:tx>
          <c:spPr>
            <a:ln w="15120">
              <a:solidFill>
                <a:srgbClr val="7955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45kt'!$A$24:$A$69</c:f>
              <c:numCache>
                <c:formatCode>General</c:formatCode>
                <c:ptCount val="46"/>
              </c:numCache>
            </c:numRef>
          </c:cat>
          <c:val>
            <c:numRef>
              <c:f>'AWS 45kt'!$N$24:$N$69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0EB0-44FB-A87B-F08C2F40ADC4}"/>
            </c:ext>
          </c:extLst>
        </c:ser>
        <c:ser>
          <c:idx val="13"/>
          <c:order val="13"/>
          <c:tx>
            <c:strRef>
              <c:f>'AWS 45kt'!$O$23</c:f>
              <c:strCache>
                <c:ptCount val="1"/>
              </c:strCache>
            </c:strRef>
          </c:tx>
          <c:spPr>
            <a:ln w="15120">
              <a:solidFill>
                <a:srgbClr val="607D8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45kt'!$A$24:$A$69</c:f>
              <c:numCache>
                <c:formatCode>General</c:formatCode>
                <c:ptCount val="46"/>
              </c:numCache>
            </c:numRef>
          </c:cat>
          <c:val>
            <c:numRef>
              <c:f>'AWS 45kt'!$O$24:$O$69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0EB0-44FB-A87B-F08C2F40ADC4}"/>
            </c:ext>
          </c:extLst>
        </c:ser>
        <c:ser>
          <c:idx val="14"/>
          <c:order val="14"/>
          <c:tx>
            <c:strRef>
              <c:f>'AWS 45kt'!$P$23</c:f>
              <c:strCache>
                <c:ptCount val="1"/>
              </c:strCache>
            </c:strRef>
          </c:tx>
          <c:spPr>
            <a:ln w="15120">
              <a:solidFill>
                <a:srgbClr val="00968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45kt'!$A$24:$A$69</c:f>
              <c:numCache>
                <c:formatCode>General</c:formatCode>
                <c:ptCount val="46"/>
              </c:numCache>
            </c:numRef>
          </c:cat>
          <c:val>
            <c:numRef>
              <c:f>'AWS 45kt'!$P$24:$P$69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0EB0-44FB-A87B-F08C2F40ADC4}"/>
            </c:ext>
          </c:extLst>
        </c:ser>
        <c:ser>
          <c:idx val="15"/>
          <c:order val="15"/>
          <c:tx>
            <c:strRef>
              <c:f>'AWS 45kt'!$Q$23</c:f>
              <c:strCache>
                <c:ptCount val="1"/>
              </c:strCache>
            </c:strRef>
          </c:tx>
          <c:spPr>
            <a:ln w="15120">
              <a:solidFill>
                <a:srgbClr val="FF6F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45kt'!$A$24:$A$69</c:f>
              <c:numCache>
                <c:formatCode>General</c:formatCode>
                <c:ptCount val="46"/>
              </c:numCache>
            </c:numRef>
          </c:cat>
          <c:val>
            <c:numRef>
              <c:f>'AWS 45kt'!$Q$24:$Q$69</c:f>
              <c:numCache>
                <c:formatCode>General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0EB0-44FB-A87B-F08C2F40A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9953889"/>
        <c:axId val="71008241"/>
      </c:lineChart>
      <c:catAx>
        <c:axId val="299538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AOA (°)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71008241"/>
        <c:crosses val="autoZero"/>
        <c:auto val="1"/>
        <c:lblAlgn val="ctr"/>
        <c:lblOffset val="100"/>
        <c:noMultiLvlLbl val="0"/>
      </c:catAx>
      <c:valAx>
        <c:axId val="710082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299538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Polaire Cl=f(Cd) — AWS 45kt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AOA=0</c:v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'AWS 45kt'!$M$4:$M$19</c:f>
              <c:numCache>
                <c:formatCode>0.0000</c:formatCode>
                <c:ptCount val="16"/>
                <c:pt idx="0">
                  <c:v>0.01</c:v>
                </c:pt>
                <c:pt idx="1">
                  <c:v>1.21E-2</c:v>
                </c:pt>
                <c:pt idx="2">
                  <c:v>1.4200000000000001E-2</c:v>
                </c:pt>
                <c:pt idx="3">
                  <c:v>1.6299999999999999E-2</c:v>
                </c:pt>
                <c:pt idx="4">
                  <c:v>1.8499999999999999E-2</c:v>
                </c:pt>
                <c:pt idx="5">
                  <c:v>2.06E-2</c:v>
                </c:pt>
                <c:pt idx="6">
                  <c:v>2.2700000000000001E-2</c:v>
                </c:pt>
                <c:pt idx="7">
                  <c:v>4.8399999999999999E-2</c:v>
                </c:pt>
                <c:pt idx="8">
                  <c:v>7.4099999999999999E-2</c:v>
                </c:pt>
                <c:pt idx="9">
                  <c:v>6.8100000000000008E-2</c:v>
                </c:pt>
                <c:pt idx="10">
                  <c:v>6.2199999999999998E-2</c:v>
                </c:pt>
                <c:pt idx="11">
                  <c:v>5.62E-2</c:v>
                </c:pt>
                <c:pt idx="12">
                  <c:v>5.0299999999999997E-2</c:v>
                </c:pt>
                <c:pt idx="13">
                  <c:v>4.4299999999999999E-2</c:v>
                </c:pt>
                <c:pt idx="14">
                  <c:v>3.8399999999999997E-2</c:v>
                </c:pt>
                <c:pt idx="15">
                  <c:v>3.2399999999999998E-2</c:v>
                </c:pt>
              </c:numCache>
            </c:numRef>
          </c:xVal>
          <c:yVal>
            <c:numRef>
              <c:f>'AWS 45kt'!$B$4:$B$19</c:f>
              <c:numCache>
                <c:formatCode>0.0000</c:formatCode>
                <c:ptCount val="16"/>
                <c:pt idx="0">
                  <c:v>0</c:v>
                </c:pt>
                <c:pt idx="1">
                  <c:v>0.126</c:v>
                </c:pt>
                <c:pt idx="2">
                  <c:v>0.252</c:v>
                </c:pt>
                <c:pt idx="3">
                  <c:v>0.376</c:v>
                </c:pt>
                <c:pt idx="4">
                  <c:v>0.499</c:v>
                </c:pt>
                <c:pt idx="5">
                  <c:v>0.61399999999999999</c:v>
                </c:pt>
                <c:pt idx="6">
                  <c:v>0.72899999999999998</c:v>
                </c:pt>
                <c:pt idx="7">
                  <c:v>0.83299999999999996</c:v>
                </c:pt>
                <c:pt idx="8">
                  <c:v>0.93600000000000005</c:v>
                </c:pt>
                <c:pt idx="9">
                  <c:v>1.032</c:v>
                </c:pt>
                <c:pt idx="10">
                  <c:v>1.129</c:v>
                </c:pt>
                <c:pt idx="11">
                  <c:v>1.218</c:v>
                </c:pt>
                <c:pt idx="12">
                  <c:v>1.3069999999999999</c:v>
                </c:pt>
                <c:pt idx="13">
                  <c:v>1.38</c:v>
                </c:pt>
                <c:pt idx="14">
                  <c:v>1.4530000000000001</c:v>
                </c:pt>
                <c:pt idx="15">
                  <c:v>1.526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2F-4A58-83BD-11D0AEE84A87}"/>
            </c:ext>
          </c:extLst>
        </c:ser>
        <c:ser>
          <c:idx val="1"/>
          <c:order val="1"/>
          <c:tx>
            <c:v>AOA=5</c:v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'AWS 45kt'!$N$4:$N$19</c:f>
              <c:numCache>
                <c:formatCode>0.0000</c:formatCode>
                <c:ptCount val="16"/>
                <c:pt idx="0">
                  <c:v>3.5700000000000003E-2</c:v>
                </c:pt>
                <c:pt idx="1">
                  <c:v>3.6299999999999999E-2</c:v>
                </c:pt>
                <c:pt idx="2">
                  <c:v>3.6799999999999999E-2</c:v>
                </c:pt>
                <c:pt idx="3">
                  <c:v>3.6400000000000002E-2</c:v>
                </c:pt>
                <c:pt idx="4">
                  <c:v>3.6000000000000004E-2</c:v>
                </c:pt>
                <c:pt idx="5">
                  <c:v>3.5700000000000003E-2</c:v>
                </c:pt>
                <c:pt idx="6">
                  <c:v>3.5400000000000001E-2</c:v>
                </c:pt>
                <c:pt idx="7">
                  <c:v>5.3699999999999998E-2</c:v>
                </c:pt>
                <c:pt idx="8">
                  <c:v>7.1900000000000006E-2</c:v>
                </c:pt>
                <c:pt idx="9">
                  <c:v>6.7100000000000007E-2</c:v>
                </c:pt>
                <c:pt idx="10">
                  <c:v>6.2300000000000001E-2</c:v>
                </c:pt>
                <c:pt idx="11">
                  <c:v>5.6899999999999999E-2</c:v>
                </c:pt>
                <c:pt idx="12">
                  <c:v>5.16E-2</c:v>
                </c:pt>
                <c:pt idx="13">
                  <c:v>4.6699999999999998E-2</c:v>
                </c:pt>
                <c:pt idx="14">
                  <c:v>4.1999999999999996E-2</c:v>
                </c:pt>
                <c:pt idx="15">
                  <c:v>3.7100000000000001E-2</c:v>
                </c:pt>
              </c:numCache>
            </c:numRef>
          </c:xVal>
          <c:yVal>
            <c:numRef>
              <c:f>'AWS 45kt'!$C$4:$C$19</c:f>
              <c:numCache>
                <c:formatCode>0.0000</c:formatCode>
                <c:ptCount val="16"/>
                <c:pt idx="0">
                  <c:v>0.52700000000000002</c:v>
                </c:pt>
                <c:pt idx="1">
                  <c:v>0.64700000000000002</c:v>
                </c:pt>
                <c:pt idx="2">
                  <c:v>0.76600000000000001</c:v>
                </c:pt>
                <c:pt idx="3">
                  <c:v>0.873</c:v>
                </c:pt>
                <c:pt idx="4">
                  <c:v>0.97899999999999998</c:v>
                </c:pt>
                <c:pt idx="5">
                  <c:v>1.077</c:v>
                </c:pt>
                <c:pt idx="6">
                  <c:v>1.175</c:v>
                </c:pt>
                <c:pt idx="7">
                  <c:v>1.2729999999999999</c:v>
                </c:pt>
                <c:pt idx="8">
                  <c:v>1.371</c:v>
                </c:pt>
                <c:pt idx="9">
                  <c:v>1.462</c:v>
                </c:pt>
                <c:pt idx="10">
                  <c:v>1.554</c:v>
                </c:pt>
                <c:pt idx="11">
                  <c:v>1.631</c:v>
                </c:pt>
                <c:pt idx="12">
                  <c:v>1.7090000000000001</c:v>
                </c:pt>
                <c:pt idx="13">
                  <c:v>1.776</c:v>
                </c:pt>
                <c:pt idx="14">
                  <c:v>1.843</c:v>
                </c:pt>
                <c:pt idx="15">
                  <c:v>1.91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D2F-4A58-83BD-11D0AEE84A87}"/>
            </c:ext>
          </c:extLst>
        </c:ser>
        <c:ser>
          <c:idx val="2"/>
          <c:order val="2"/>
          <c:tx>
            <c:v>AOA=10</c:v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'AWS 45kt'!$O$4:$O$19</c:f>
              <c:numCache>
                <c:formatCode>0.0000</c:formatCode>
                <c:ptCount val="16"/>
                <c:pt idx="0">
                  <c:v>0.1066</c:v>
                </c:pt>
                <c:pt idx="1">
                  <c:v>0.1013</c:v>
                </c:pt>
                <c:pt idx="2">
                  <c:v>9.6000000000000002E-2</c:v>
                </c:pt>
                <c:pt idx="3">
                  <c:v>9.0799999999999992E-2</c:v>
                </c:pt>
                <c:pt idx="4">
                  <c:v>8.5699999999999998E-2</c:v>
                </c:pt>
                <c:pt idx="5">
                  <c:v>8.2000000000000003E-2</c:v>
                </c:pt>
                <c:pt idx="6">
                  <c:v>7.8399999999999997E-2</c:v>
                </c:pt>
                <c:pt idx="7">
                  <c:v>9.1299999999999992E-2</c:v>
                </c:pt>
                <c:pt idx="8">
                  <c:v>0.10420000000000001</c:v>
                </c:pt>
                <c:pt idx="9">
                  <c:v>9.6800000000000011E-2</c:v>
                </c:pt>
                <c:pt idx="10">
                  <c:v>8.9399999999999993E-2</c:v>
                </c:pt>
                <c:pt idx="11">
                  <c:v>8.2199999999999995E-2</c:v>
                </c:pt>
                <c:pt idx="12">
                  <c:v>7.51E-2</c:v>
                </c:pt>
                <c:pt idx="13">
                  <c:v>6.8699999999999997E-2</c:v>
                </c:pt>
                <c:pt idx="14">
                  <c:v>6.25E-2</c:v>
                </c:pt>
                <c:pt idx="15">
                  <c:v>5.6099999999999997E-2</c:v>
                </c:pt>
              </c:numCache>
            </c:numRef>
          </c:xVal>
          <c:yVal>
            <c:numRef>
              <c:f>'AWS 45kt'!$D$4:$D$19</c:f>
              <c:numCache>
                <c:formatCode>0.0000</c:formatCode>
                <c:ptCount val="16"/>
                <c:pt idx="0">
                  <c:v>1.022</c:v>
                </c:pt>
                <c:pt idx="1">
                  <c:v>1.109</c:v>
                </c:pt>
                <c:pt idx="2">
                  <c:v>1.196</c:v>
                </c:pt>
                <c:pt idx="3">
                  <c:v>1.278</c:v>
                </c:pt>
                <c:pt idx="4">
                  <c:v>1.36</c:v>
                </c:pt>
                <c:pt idx="5">
                  <c:v>1.44</c:v>
                </c:pt>
                <c:pt idx="6">
                  <c:v>1.5189999999999999</c:v>
                </c:pt>
                <c:pt idx="7">
                  <c:v>1.5960000000000001</c:v>
                </c:pt>
                <c:pt idx="8">
                  <c:v>1.6739999999999999</c:v>
                </c:pt>
                <c:pt idx="9">
                  <c:v>1.748</c:v>
                </c:pt>
                <c:pt idx="10">
                  <c:v>1.821</c:v>
                </c:pt>
                <c:pt idx="11">
                  <c:v>1.887</c:v>
                </c:pt>
                <c:pt idx="12">
                  <c:v>1.954</c:v>
                </c:pt>
                <c:pt idx="13">
                  <c:v>2.0099999999999998</c:v>
                </c:pt>
                <c:pt idx="14">
                  <c:v>2.0649999999999999</c:v>
                </c:pt>
                <c:pt idx="15">
                  <c:v>2.121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D2F-4A58-83BD-11D0AEE84A87}"/>
            </c:ext>
          </c:extLst>
        </c:ser>
        <c:ser>
          <c:idx val="3"/>
          <c:order val="3"/>
          <c:tx>
            <c:v>AOA=15</c:v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'AWS 45kt'!$P$4:$P$19</c:f>
              <c:numCache>
                <c:formatCode>0.0000</c:formatCode>
                <c:ptCount val="16"/>
                <c:pt idx="0">
                  <c:v>0.193</c:v>
                </c:pt>
                <c:pt idx="1">
                  <c:v>0.18090000000000001</c:v>
                </c:pt>
                <c:pt idx="2">
                  <c:v>0.16869999999999999</c:v>
                </c:pt>
                <c:pt idx="3">
                  <c:v>0.157</c:v>
                </c:pt>
                <c:pt idx="4">
                  <c:v>0.1454</c:v>
                </c:pt>
                <c:pt idx="5">
                  <c:v>0.13489999999999999</c:v>
                </c:pt>
                <c:pt idx="6">
                  <c:v>0.1244</c:v>
                </c:pt>
                <c:pt idx="7">
                  <c:v>0.13340000000000002</c:v>
                </c:pt>
                <c:pt idx="8">
                  <c:v>0.14250000000000002</c:v>
                </c:pt>
                <c:pt idx="9">
                  <c:v>0.1348</c:v>
                </c:pt>
                <c:pt idx="10">
                  <c:v>0.12709999999999999</c:v>
                </c:pt>
                <c:pt idx="11">
                  <c:v>0.1229</c:v>
                </c:pt>
                <c:pt idx="12">
                  <c:v>0.1187</c:v>
                </c:pt>
                <c:pt idx="13">
                  <c:v>0.1164</c:v>
                </c:pt>
                <c:pt idx="14">
                  <c:v>0.11410000000000001</c:v>
                </c:pt>
                <c:pt idx="15">
                  <c:v>0.1118</c:v>
                </c:pt>
              </c:numCache>
            </c:numRef>
          </c:xVal>
          <c:yVal>
            <c:numRef>
              <c:f>'AWS 45kt'!$E$4:$E$19</c:f>
              <c:numCache>
                <c:formatCode>0.0000</c:formatCode>
                <c:ptCount val="16"/>
                <c:pt idx="0">
                  <c:v>1.407</c:v>
                </c:pt>
                <c:pt idx="1">
                  <c:v>1.47</c:v>
                </c:pt>
                <c:pt idx="2">
                  <c:v>1.534</c:v>
                </c:pt>
                <c:pt idx="3">
                  <c:v>1.591</c:v>
                </c:pt>
                <c:pt idx="4">
                  <c:v>1.647</c:v>
                </c:pt>
                <c:pt idx="5">
                  <c:v>1.6919999999999999</c:v>
                </c:pt>
                <c:pt idx="6">
                  <c:v>1.738</c:v>
                </c:pt>
                <c:pt idx="7">
                  <c:v>1.776</c:v>
                </c:pt>
                <c:pt idx="8">
                  <c:v>1.8140000000000001</c:v>
                </c:pt>
                <c:pt idx="9">
                  <c:v>1.8540000000000001</c:v>
                </c:pt>
                <c:pt idx="10">
                  <c:v>1.8939999999999999</c:v>
                </c:pt>
                <c:pt idx="11">
                  <c:v>1.946</c:v>
                </c:pt>
                <c:pt idx="12">
                  <c:v>1.9970000000000001</c:v>
                </c:pt>
                <c:pt idx="13">
                  <c:v>2.044</c:v>
                </c:pt>
                <c:pt idx="14">
                  <c:v>2.09</c:v>
                </c:pt>
                <c:pt idx="15">
                  <c:v>2.137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D2F-4A58-83BD-11D0AEE84A87}"/>
            </c:ext>
          </c:extLst>
        </c:ser>
        <c:ser>
          <c:idx val="4"/>
          <c:order val="4"/>
          <c:tx>
            <c:v>AOA=20</c:v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'AWS 45kt'!$Q$4:$Q$19</c:f>
              <c:numCache>
                <c:formatCode>0.0000</c:formatCode>
                <c:ptCount val="16"/>
                <c:pt idx="0">
                  <c:v>0.25209999999999999</c:v>
                </c:pt>
                <c:pt idx="1">
                  <c:v>0.2359</c:v>
                </c:pt>
                <c:pt idx="2">
                  <c:v>0.21959999999999999</c:v>
                </c:pt>
                <c:pt idx="3">
                  <c:v>0.20450000000000002</c:v>
                </c:pt>
                <c:pt idx="4">
                  <c:v>0.1895</c:v>
                </c:pt>
                <c:pt idx="5">
                  <c:v>0.1779</c:v>
                </c:pt>
                <c:pt idx="6">
                  <c:v>0.16619999999999999</c:v>
                </c:pt>
                <c:pt idx="7">
                  <c:v>0.19359999999999999</c:v>
                </c:pt>
                <c:pt idx="8">
                  <c:v>0.22110000000000002</c:v>
                </c:pt>
                <c:pt idx="9">
                  <c:v>0.21190000000000003</c:v>
                </c:pt>
                <c:pt idx="10">
                  <c:v>0.20270000000000002</c:v>
                </c:pt>
                <c:pt idx="11">
                  <c:v>0.1963</c:v>
                </c:pt>
                <c:pt idx="12">
                  <c:v>0.19</c:v>
                </c:pt>
                <c:pt idx="13">
                  <c:v>0.18710000000000002</c:v>
                </c:pt>
                <c:pt idx="14">
                  <c:v>0.18439999999999998</c:v>
                </c:pt>
                <c:pt idx="15">
                  <c:v>0.18149999999999999</c:v>
                </c:pt>
              </c:numCache>
            </c:numRef>
          </c:xVal>
          <c:yVal>
            <c:numRef>
              <c:f>'AWS 45kt'!$F$4:$F$19</c:f>
              <c:numCache>
                <c:formatCode>0.0000</c:formatCode>
                <c:ptCount val="16"/>
                <c:pt idx="0">
                  <c:v>1.6180000000000001</c:v>
                </c:pt>
                <c:pt idx="1">
                  <c:v>1.661</c:v>
                </c:pt>
                <c:pt idx="2">
                  <c:v>1.704</c:v>
                </c:pt>
                <c:pt idx="3">
                  <c:v>1.738</c:v>
                </c:pt>
                <c:pt idx="4">
                  <c:v>1.7729999999999999</c:v>
                </c:pt>
                <c:pt idx="5">
                  <c:v>1.8009999999999999</c:v>
                </c:pt>
                <c:pt idx="6">
                  <c:v>1.83</c:v>
                </c:pt>
                <c:pt idx="7">
                  <c:v>1.8560000000000001</c:v>
                </c:pt>
                <c:pt idx="8">
                  <c:v>1.881</c:v>
                </c:pt>
                <c:pt idx="9">
                  <c:v>1.9039999999999999</c:v>
                </c:pt>
                <c:pt idx="10">
                  <c:v>1.927</c:v>
                </c:pt>
                <c:pt idx="11">
                  <c:v>1.9490000000000001</c:v>
                </c:pt>
                <c:pt idx="12">
                  <c:v>1.9710000000000001</c:v>
                </c:pt>
                <c:pt idx="13">
                  <c:v>1.9930000000000001</c:v>
                </c:pt>
                <c:pt idx="14">
                  <c:v>2.016</c:v>
                </c:pt>
                <c:pt idx="15">
                  <c:v>2.0379999999999998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D2F-4A58-83BD-11D0AEE84A87}"/>
            </c:ext>
          </c:extLst>
        </c:ser>
        <c:ser>
          <c:idx val="5"/>
          <c:order val="5"/>
          <c:tx>
            <c:v>AOA=25</c:v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'AWS 45kt'!$R$4:$R$19</c:f>
              <c:numCache>
                <c:formatCode>0.0000</c:formatCode>
                <c:ptCount val="16"/>
                <c:pt idx="0">
                  <c:v>0.2009</c:v>
                </c:pt>
                <c:pt idx="1">
                  <c:v>0.1986</c:v>
                </c:pt>
                <c:pt idx="2">
                  <c:v>0.1963</c:v>
                </c:pt>
                <c:pt idx="3">
                  <c:v>0.19410000000000002</c:v>
                </c:pt>
                <c:pt idx="4">
                  <c:v>0.19199999999999998</c:v>
                </c:pt>
                <c:pt idx="5">
                  <c:v>0.1923</c:v>
                </c:pt>
                <c:pt idx="6">
                  <c:v>0.19259999999999999</c:v>
                </c:pt>
                <c:pt idx="7">
                  <c:v>0.24490000000000001</c:v>
                </c:pt>
                <c:pt idx="8">
                  <c:v>0.29720000000000002</c:v>
                </c:pt>
                <c:pt idx="9">
                  <c:v>0.2787</c:v>
                </c:pt>
                <c:pt idx="10">
                  <c:v>0.26019999999999999</c:v>
                </c:pt>
                <c:pt idx="11">
                  <c:v>0.39329999999999998</c:v>
                </c:pt>
                <c:pt idx="12">
                  <c:v>0.52659999999999996</c:v>
                </c:pt>
                <c:pt idx="13">
                  <c:v>0.54430000000000001</c:v>
                </c:pt>
                <c:pt idx="14">
                  <c:v>0.56220000000000003</c:v>
                </c:pt>
                <c:pt idx="15">
                  <c:v>0.57989999999999997</c:v>
                </c:pt>
              </c:numCache>
            </c:numRef>
          </c:xVal>
          <c:yVal>
            <c:numRef>
              <c:f>'AWS 45kt'!$G$4:$G$19</c:f>
              <c:numCache>
                <c:formatCode>0.0000</c:formatCode>
                <c:ptCount val="16"/>
                <c:pt idx="0">
                  <c:v>1.4370000000000001</c:v>
                </c:pt>
                <c:pt idx="1">
                  <c:v>1.49</c:v>
                </c:pt>
                <c:pt idx="2">
                  <c:v>1.5429999999999999</c:v>
                </c:pt>
                <c:pt idx="3">
                  <c:v>1.585</c:v>
                </c:pt>
                <c:pt idx="4">
                  <c:v>1.627</c:v>
                </c:pt>
                <c:pt idx="5">
                  <c:v>1.66</c:v>
                </c:pt>
                <c:pt idx="6">
                  <c:v>1.694</c:v>
                </c:pt>
                <c:pt idx="7">
                  <c:v>1.722</c:v>
                </c:pt>
                <c:pt idx="8">
                  <c:v>1.7490000000000001</c:v>
                </c:pt>
                <c:pt idx="9">
                  <c:v>1.772</c:v>
                </c:pt>
                <c:pt idx="10">
                  <c:v>1.796</c:v>
                </c:pt>
                <c:pt idx="11">
                  <c:v>1.821</c:v>
                </c:pt>
                <c:pt idx="12">
                  <c:v>1.8460000000000001</c:v>
                </c:pt>
                <c:pt idx="13">
                  <c:v>1.8580000000000001</c:v>
                </c:pt>
                <c:pt idx="14">
                  <c:v>1.869</c:v>
                </c:pt>
                <c:pt idx="15">
                  <c:v>1.881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D2F-4A58-83BD-11D0AEE84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22945"/>
        <c:axId val="20069546"/>
      </c:scatterChart>
      <c:valAx>
        <c:axId val="56722945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20069546"/>
        <c:crosses val="autoZero"/>
        <c:crossBetween val="midCat"/>
      </c:valAx>
      <c:valAx>
        <c:axId val="2006954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5672294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Polaire Cl=f(Cd) — AWS 45kt (v3)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AOA=0</c:v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'AWS 45kt'!$M$4:$M$19</c:f>
              <c:numCache>
                <c:formatCode>0.0000</c:formatCode>
                <c:ptCount val="16"/>
                <c:pt idx="0">
                  <c:v>0.01</c:v>
                </c:pt>
                <c:pt idx="1">
                  <c:v>1.21E-2</c:v>
                </c:pt>
                <c:pt idx="2">
                  <c:v>1.4200000000000001E-2</c:v>
                </c:pt>
                <c:pt idx="3">
                  <c:v>1.6299999999999999E-2</c:v>
                </c:pt>
                <c:pt idx="4">
                  <c:v>1.8499999999999999E-2</c:v>
                </c:pt>
                <c:pt idx="5">
                  <c:v>2.06E-2</c:v>
                </c:pt>
                <c:pt idx="6">
                  <c:v>2.2700000000000001E-2</c:v>
                </c:pt>
                <c:pt idx="7">
                  <c:v>4.8399999999999999E-2</c:v>
                </c:pt>
                <c:pt idx="8">
                  <c:v>7.4099999999999999E-2</c:v>
                </c:pt>
                <c:pt idx="9">
                  <c:v>6.8100000000000008E-2</c:v>
                </c:pt>
                <c:pt idx="10">
                  <c:v>6.2199999999999998E-2</c:v>
                </c:pt>
                <c:pt idx="11">
                  <c:v>5.62E-2</c:v>
                </c:pt>
                <c:pt idx="12">
                  <c:v>5.0299999999999997E-2</c:v>
                </c:pt>
                <c:pt idx="13">
                  <c:v>4.4299999999999999E-2</c:v>
                </c:pt>
                <c:pt idx="14">
                  <c:v>3.8399999999999997E-2</c:v>
                </c:pt>
                <c:pt idx="15">
                  <c:v>3.2399999999999998E-2</c:v>
                </c:pt>
              </c:numCache>
            </c:numRef>
          </c:xVal>
          <c:yVal>
            <c:numRef>
              <c:f>'AWS 45kt'!$B$4:$B$19</c:f>
              <c:numCache>
                <c:formatCode>0.0000</c:formatCode>
                <c:ptCount val="16"/>
                <c:pt idx="0">
                  <c:v>0</c:v>
                </c:pt>
                <c:pt idx="1">
                  <c:v>0.126</c:v>
                </c:pt>
                <c:pt idx="2">
                  <c:v>0.252</c:v>
                </c:pt>
                <c:pt idx="3">
                  <c:v>0.376</c:v>
                </c:pt>
                <c:pt idx="4">
                  <c:v>0.499</c:v>
                </c:pt>
                <c:pt idx="5">
                  <c:v>0.61399999999999999</c:v>
                </c:pt>
                <c:pt idx="6">
                  <c:v>0.72899999999999998</c:v>
                </c:pt>
                <c:pt idx="7">
                  <c:v>0.83299999999999996</c:v>
                </c:pt>
                <c:pt idx="8">
                  <c:v>0.93600000000000005</c:v>
                </c:pt>
                <c:pt idx="9">
                  <c:v>1.032</c:v>
                </c:pt>
                <c:pt idx="10">
                  <c:v>1.129</c:v>
                </c:pt>
                <c:pt idx="11">
                  <c:v>1.218</c:v>
                </c:pt>
                <c:pt idx="12">
                  <c:v>1.3069999999999999</c:v>
                </c:pt>
                <c:pt idx="13">
                  <c:v>1.38</c:v>
                </c:pt>
                <c:pt idx="14">
                  <c:v>1.4530000000000001</c:v>
                </c:pt>
                <c:pt idx="15">
                  <c:v>1.526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66-4D22-9B54-E6FA4435288E}"/>
            </c:ext>
          </c:extLst>
        </c:ser>
        <c:ser>
          <c:idx val="1"/>
          <c:order val="1"/>
          <c:tx>
            <c:v>AOA=5</c:v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'AWS 45kt'!$N$4:$N$19</c:f>
              <c:numCache>
                <c:formatCode>0.0000</c:formatCode>
                <c:ptCount val="16"/>
                <c:pt idx="0">
                  <c:v>3.5700000000000003E-2</c:v>
                </c:pt>
                <c:pt idx="1">
                  <c:v>3.6299999999999999E-2</c:v>
                </c:pt>
                <c:pt idx="2">
                  <c:v>3.6799999999999999E-2</c:v>
                </c:pt>
                <c:pt idx="3">
                  <c:v>3.6400000000000002E-2</c:v>
                </c:pt>
                <c:pt idx="4">
                  <c:v>3.6000000000000004E-2</c:v>
                </c:pt>
                <c:pt idx="5">
                  <c:v>3.5700000000000003E-2</c:v>
                </c:pt>
                <c:pt idx="6">
                  <c:v>3.5400000000000001E-2</c:v>
                </c:pt>
                <c:pt idx="7">
                  <c:v>5.3699999999999998E-2</c:v>
                </c:pt>
                <c:pt idx="8">
                  <c:v>7.1900000000000006E-2</c:v>
                </c:pt>
                <c:pt idx="9">
                  <c:v>6.7100000000000007E-2</c:v>
                </c:pt>
                <c:pt idx="10">
                  <c:v>6.2300000000000001E-2</c:v>
                </c:pt>
                <c:pt idx="11">
                  <c:v>5.6899999999999999E-2</c:v>
                </c:pt>
                <c:pt idx="12">
                  <c:v>5.16E-2</c:v>
                </c:pt>
                <c:pt idx="13">
                  <c:v>4.6699999999999998E-2</c:v>
                </c:pt>
                <c:pt idx="14">
                  <c:v>4.1999999999999996E-2</c:v>
                </c:pt>
                <c:pt idx="15">
                  <c:v>3.7100000000000001E-2</c:v>
                </c:pt>
              </c:numCache>
            </c:numRef>
          </c:xVal>
          <c:yVal>
            <c:numRef>
              <c:f>'AWS 45kt'!$C$4:$C$19</c:f>
              <c:numCache>
                <c:formatCode>0.0000</c:formatCode>
                <c:ptCount val="16"/>
                <c:pt idx="0">
                  <c:v>0.52700000000000002</c:v>
                </c:pt>
                <c:pt idx="1">
                  <c:v>0.64700000000000002</c:v>
                </c:pt>
                <c:pt idx="2">
                  <c:v>0.76600000000000001</c:v>
                </c:pt>
                <c:pt idx="3">
                  <c:v>0.873</c:v>
                </c:pt>
                <c:pt idx="4">
                  <c:v>0.97899999999999998</c:v>
                </c:pt>
                <c:pt idx="5">
                  <c:v>1.077</c:v>
                </c:pt>
                <c:pt idx="6">
                  <c:v>1.175</c:v>
                </c:pt>
                <c:pt idx="7">
                  <c:v>1.2729999999999999</c:v>
                </c:pt>
                <c:pt idx="8">
                  <c:v>1.371</c:v>
                </c:pt>
                <c:pt idx="9">
                  <c:v>1.462</c:v>
                </c:pt>
                <c:pt idx="10">
                  <c:v>1.554</c:v>
                </c:pt>
                <c:pt idx="11">
                  <c:v>1.631</c:v>
                </c:pt>
                <c:pt idx="12">
                  <c:v>1.7090000000000001</c:v>
                </c:pt>
                <c:pt idx="13">
                  <c:v>1.776</c:v>
                </c:pt>
                <c:pt idx="14">
                  <c:v>1.843</c:v>
                </c:pt>
                <c:pt idx="15">
                  <c:v>1.91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166-4D22-9B54-E6FA4435288E}"/>
            </c:ext>
          </c:extLst>
        </c:ser>
        <c:ser>
          <c:idx val="2"/>
          <c:order val="2"/>
          <c:tx>
            <c:v>AOA=10</c:v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'AWS 45kt'!$O$4:$O$19</c:f>
              <c:numCache>
                <c:formatCode>0.0000</c:formatCode>
                <c:ptCount val="16"/>
                <c:pt idx="0">
                  <c:v>0.1066</c:v>
                </c:pt>
                <c:pt idx="1">
                  <c:v>0.1013</c:v>
                </c:pt>
                <c:pt idx="2">
                  <c:v>9.6000000000000002E-2</c:v>
                </c:pt>
                <c:pt idx="3">
                  <c:v>9.0799999999999992E-2</c:v>
                </c:pt>
                <c:pt idx="4">
                  <c:v>8.5699999999999998E-2</c:v>
                </c:pt>
                <c:pt idx="5">
                  <c:v>8.2000000000000003E-2</c:v>
                </c:pt>
                <c:pt idx="6">
                  <c:v>7.8399999999999997E-2</c:v>
                </c:pt>
                <c:pt idx="7">
                  <c:v>9.1299999999999992E-2</c:v>
                </c:pt>
                <c:pt idx="8">
                  <c:v>0.10420000000000001</c:v>
                </c:pt>
                <c:pt idx="9">
                  <c:v>9.6800000000000011E-2</c:v>
                </c:pt>
                <c:pt idx="10">
                  <c:v>8.9399999999999993E-2</c:v>
                </c:pt>
                <c:pt idx="11">
                  <c:v>8.2199999999999995E-2</c:v>
                </c:pt>
                <c:pt idx="12">
                  <c:v>7.51E-2</c:v>
                </c:pt>
                <c:pt idx="13">
                  <c:v>6.8699999999999997E-2</c:v>
                </c:pt>
                <c:pt idx="14">
                  <c:v>6.25E-2</c:v>
                </c:pt>
                <c:pt idx="15">
                  <c:v>5.6099999999999997E-2</c:v>
                </c:pt>
              </c:numCache>
            </c:numRef>
          </c:xVal>
          <c:yVal>
            <c:numRef>
              <c:f>'AWS 45kt'!$D$4:$D$19</c:f>
              <c:numCache>
                <c:formatCode>0.0000</c:formatCode>
                <c:ptCount val="16"/>
                <c:pt idx="0">
                  <c:v>1.022</c:v>
                </c:pt>
                <c:pt idx="1">
                  <c:v>1.109</c:v>
                </c:pt>
                <c:pt idx="2">
                  <c:v>1.196</c:v>
                </c:pt>
                <c:pt idx="3">
                  <c:v>1.278</c:v>
                </c:pt>
                <c:pt idx="4">
                  <c:v>1.36</c:v>
                </c:pt>
                <c:pt idx="5">
                  <c:v>1.44</c:v>
                </c:pt>
                <c:pt idx="6">
                  <c:v>1.5189999999999999</c:v>
                </c:pt>
                <c:pt idx="7">
                  <c:v>1.5960000000000001</c:v>
                </c:pt>
                <c:pt idx="8">
                  <c:v>1.6739999999999999</c:v>
                </c:pt>
                <c:pt idx="9">
                  <c:v>1.748</c:v>
                </c:pt>
                <c:pt idx="10">
                  <c:v>1.821</c:v>
                </c:pt>
                <c:pt idx="11">
                  <c:v>1.887</c:v>
                </c:pt>
                <c:pt idx="12">
                  <c:v>1.954</c:v>
                </c:pt>
                <c:pt idx="13">
                  <c:v>2.0099999999999998</c:v>
                </c:pt>
                <c:pt idx="14">
                  <c:v>2.0649999999999999</c:v>
                </c:pt>
                <c:pt idx="15">
                  <c:v>2.121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166-4D22-9B54-E6FA4435288E}"/>
            </c:ext>
          </c:extLst>
        </c:ser>
        <c:ser>
          <c:idx val="3"/>
          <c:order val="3"/>
          <c:tx>
            <c:v>AOA=15</c:v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'AWS 45kt'!$P$4:$P$19</c:f>
              <c:numCache>
                <c:formatCode>0.0000</c:formatCode>
                <c:ptCount val="16"/>
                <c:pt idx="0">
                  <c:v>0.193</c:v>
                </c:pt>
                <c:pt idx="1">
                  <c:v>0.18090000000000001</c:v>
                </c:pt>
                <c:pt idx="2">
                  <c:v>0.16869999999999999</c:v>
                </c:pt>
                <c:pt idx="3">
                  <c:v>0.157</c:v>
                </c:pt>
                <c:pt idx="4">
                  <c:v>0.1454</c:v>
                </c:pt>
                <c:pt idx="5">
                  <c:v>0.13489999999999999</c:v>
                </c:pt>
                <c:pt idx="6">
                  <c:v>0.1244</c:v>
                </c:pt>
                <c:pt idx="7">
                  <c:v>0.13340000000000002</c:v>
                </c:pt>
                <c:pt idx="8">
                  <c:v>0.14250000000000002</c:v>
                </c:pt>
                <c:pt idx="9">
                  <c:v>0.1348</c:v>
                </c:pt>
                <c:pt idx="10">
                  <c:v>0.12709999999999999</c:v>
                </c:pt>
                <c:pt idx="11">
                  <c:v>0.1229</c:v>
                </c:pt>
                <c:pt idx="12">
                  <c:v>0.1187</c:v>
                </c:pt>
                <c:pt idx="13">
                  <c:v>0.1164</c:v>
                </c:pt>
                <c:pt idx="14">
                  <c:v>0.11410000000000001</c:v>
                </c:pt>
                <c:pt idx="15">
                  <c:v>0.1118</c:v>
                </c:pt>
              </c:numCache>
            </c:numRef>
          </c:xVal>
          <c:yVal>
            <c:numRef>
              <c:f>'AWS 45kt'!$E$4:$E$19</c:f>
              <c:numCache>
                <c:formatCode>0.0000</c:formatCode>
                <c:ptCount val="16"/>
                <c:pt idx="0">
                  <c:v>1.407</c:v>
                </c:pt>
                <c:pt idx="1">
                  <c:v>1.47</c:v>
                </c:pt>
                <c:pt idx="2">
                  <c:v>1.534</c:v>
                </c:pt>
                <c:pt idx="3">
                  <c:v>1.591</c:v>
                </c:pt>
                <c:pt idx="4">
                  <c:v>1.647</c:v>
                </c:pt>
                <c:pt idx="5">
                  <c:v>1.6919999999999999</c:v>
                </c:pt>
                <c:pt idx="6">
                  <c:v>1.738</c:v>
                </c:pt>
                <c:pt idx="7">
                  <c:v>1.776</c:v>
                </c:pt>
                <c:pt idx="8">
                  <c:v>1.8140000000000001</c:v>
                </c:pt>
                <c:pt idx="9">
                  <c:v>1.8540000000000001</c:v>
                </c:pt>
                <c:pt idx="10">
                  <c:v>1.8939999999999999</c:v>
                </c:pt>
                <c:pt idx="11">
                  <c:v>1.946</c:v>
                </c:pt>
                <c:pt idx="12">
                  <c:v>1.9970000000000001</c:v>
                </c:pt>
                <c:pt idx="13">
                  <c:v>2.044</c:v>
                </c:pt>
                <c:pt idx="14">
                  <c:v>2.09</c:v>
                </c:pt>
                <c:pt idx="15">
                  <c:v>2.137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166-4D22-9B54-E6FA4435288E}"/>
            </c:ext>
          </c:extLst>
        </c:ser>
        <c:ser>
          <c:idx val="4"/>
          <c:order val="4"/>
          <c:tx>
            <c:v>AOA=20</c:v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'AWS 45kt'!$Q$4:$Q$19</c:f>
              <c:numCache>
                <c:formatCode>0.0000</c:formatCode>
                <c:ptCount val="16"/>
                <c:pt idx="0">
                  <c:v>0.25209999999999999</c:v>
                </c:pt>
                <c:pt idx="1">
                  <c:v>0.2359</c:v>
                </c:pt>
                <c:pt idx="2">
                  <c:v>0.21959999999999999</c:v>
                </c:pt>
                <c:pt idx="3">
                  <c:v>0.20450000000000002</c:v>
                </c:pt>
                <c:pt idx="4">
                  <c:v>0.1895</c:v>
                </c:pt>
                <c:pt idx="5">
                  <c:v>0.1779</c:v>
                </c:pt>
                <c:pt idx="6">
                  <c:v>0.16619999999999999</c:v>
                </c:pt>
                <c:pt idx="7">
                  <c:v>0.19359999999999999</c:v>
                </c:pt>
                <c:pt idx="8">
                  <c:v>0.22110000000000002</c:v>
                </c:pt>
                <c:pt idx="9">
                  <c:v>0.21190000000000003</c:v>
                </c:pt>
                <c:pt idx="10">
                  <c:v>0.20270000000000002</c:v>
                </c:pt>
                <c:pt idx="11">
                  <c:v>0.1963</c:v>
                </c:pt>
                <c:pt idx="12">
                  <c:v>0.19</c:v>
                </c:pt>
                <c:pt idx="13">
                  <c:v>0.18710000000000002</c:v>
                </c:pt>
                <c:pt idx="14">
                  <c:v>0.18439999999999998</c:v>
                </c:pt>
                <c:pt idx="15">
                  <c:v>0.18149999999999999</c:v>
                </c:pt>
              </c:numCache>
            </c:numRef>
          </c:xVal>
          <c:yVal>
            <c:numRef>
              <c:f>'AWS 45kt'!$F$4:$F$19</c:f>
              <c:numCache>
                <c:formatCode>0.0000</c:formatCode>
                <c:ptCount val="16"/>
                <c:pt idx="0">
                  <c:v>1.6180000000000001</c:v>
                </c:pt>
                <c:pt idx="1">
                  <c:v>1.661</c:v>
                </c:pt>
                <c:pt idx="2">
                  <c:v>1.704</c:v>
                </c:pt>
                <c:pt idx="3">
                  <c:v>1.738</c:v>
                </c:pt>
                <c:pt idx="4">
                  <c:v>1.7729999999999999</c:v>
                </c:pt>
                <c:pt idx="5">
                  <c:v>1.8009999999999999</c:v>
                </c:pt>
                <c:pt idx="6">
                  <c:v>1.83</c:v>
                </c:pt>
                <c:pt idx="7">
                  <c:v>1.8560000000000001</c:v>
                </c:pt>
                <c:pt idx="8">
                  <c:v>1.881</c:v>
                </c:pt>
                <c:pt idx="9">
                  <c:v>1.9039999999999999</c:v>
                </c:pt>
                <c:pt idx="10">
                  <c:v>1.927</c:v>
                </c:pt>
                <c:pt idx="11">
                  <c:v>1.9490000000000001</c:v>
                </c:pt>
                <c:pt idx="12">
                  <c:v>1.9710000000000001</c:v>
                </c:pt>
                <c:pt idx="13">
                  <c:v>1.9930000000000001</c:v>
                </c:pt>
                <c:pt idx="14">
                  <c:v>2.016</c:v>
                </c:pt>
                <c:pt idx="15">
                  <c:v>2.0379999999999998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166-4D22-9B54-E6FA4435288E}"/>
            </c:ext>
          </c:extLst>
        </c:ser>
        <c:ser>
          <c:idx val="5"/>
          <c:order val="5"/>
          <c:tx>
            <c:v>AOA=25</c:v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'AWS 45kt'!$R$4:$R$19</c:f>
              <c:numCache>
                <c:formatCode>0.0000</c:formatCode>
                <c:ptCount val="16"/>
                <c:pt idx="0">
                  <c:v>0.2009</c:v>
                </c:pt>
                <c:pt idx="1">
                  <c:v>0.1986</c:v>
                </c:pt>
                <c:pt idx="2">
                  <c:v>0.1963</c:v>
                </c:pt>
                <c:pt idx="3">
                  <c:v>0.19410000000000002</c:v>
                </c:pt>
                <c:pt idx="4">
                  <c:v>0.19199999999999998</c:v>
                </c:pt>
                <c:pt idx="5">
                  <c:v>0.1923</c:v>
                </c:pt>
                <c:pt idx="6">
                  <c:v>0.19259999999999999</c:v>
                </c:pt>
                <c:pt idx="7">
                  <c:v>0.24490000000000001</c:v>
                </c:pt>
                <c:pt idx="8">
                  <c:v>0.29720000000000002</c:v>
                </c:pt>
                <c:pt idx="9">
                  <c:v>0.2787</c:v>
                </c:pt>
                <c:pt idx="10">
                  <c:v>0.26019999999999999</c:v>
                </c:pt>
                <c:pt idx="11">
                  <c:v>0.39329999999999998</c:v>
                </c:pt>
                <c:pt idx="12">
                  <c:v>0.52659999999999996</c:v>
                </c:pt>
                <c:pt idx="13">
                  <c:v>0.54430000000000001</c:v>
                </c:pt>
                <c:pt idx="14">
                  <c:v>0.56220000000000003</c:v>
                </c:pt>
                <c:pt idx="15">
                  <c:v>0.57989999999999997</c:v>
                </c:pt>
              </c:numCache>
            </c:numRef>
          </c:xVal>
          <c:yVal>
            <c:numRef>
              <c:f>'AWS 45kt'!$G$4:$G$19</c:f>
              <c:numCache>
                <c:formatCode>0.0000</c:formatCode>
                <c:ptCount val="16"/>
                <c:pt idx="0">
                  <c:v>1.4370000000000001</c:v>
                </c:pt>
                <c:pt idx="1">
                  <c:v>1.49</c:v>
                </c:pt>
                <c:pt idx="2">
                  <c:v>1.5429999999999999</c:v>
                </c:pt>
                <c:pt idx="3">
                  <c:v>1.585</c:v>
                </c:pt>
                <c:pt idx="4">
                  <c:v>1.627</c:v>
                </c:pt>
                <c:pt idx="5">
                  <c:v>1.66</c:v>
                </c:pt>
                <c:pt idx="6">
                  <c:v>1.694</c:v>
                </c:pt>
                <c:pt idx="7">
                  <c:v>1.722</c:v>
                </c:pt>
                <c:pt idx="8">
                  <c:v>1.7490000000000001</c:v>
                </c:pt>
                <c:pt idx="9">
                  <c:v>1.772</c:v>
                </c:pt>
                <c:pt idx="10">
                  <c:v>1.796</c:v>
                </c:pt>
                <c:pt idx="11">
                  <c:v>1.821</c:v>
                </c:pt>
                <c:pt idx="12">
                  <c:v>1.8460000000000001</c:v>
                </c:pt>
                <c:pt idx="13">
                  <c:v>1.8580000000000001</c:v>
                </c:pt>
                <c:pt idx="14">
                  <c:v>1.869</c:v>
                </c:pt>
                <c:pt idx="15">
                  <c:v>1.881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166-4D22-9B54-E6FA443528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75008"/>
        <c:axId val="61532240"/>
      </c:scatterChart>
      <c:valAx>
        <c:axId val="18675008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61532240"/>
        <c:crosses val="autoZero"/>
        <c:crossBetween val="midCat"/>
      </c:valAx>
      <c:valAx>
        <c:axId val="6153224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1867500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Cl = f(AOA) — AWS=50kt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'AWS 50kt'!$B$23</c:f>
              <c:strCache>
                <c:ptCount val="1"/>
              </c:strCache>
            </c:strRef>
          </c:tx>
          <c:spPr>
            <a:ln w="1512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50kt'!$A$24:$A$69</c:f>
              <c:numCache>
                <c:formatCode>General</c:formatCode>
                <c:ptCount val="46"/>
              </c:numCache>
            </c:numRef>
          </c:cat>
          <c:val>
            <c:numRef>
              <c:f>'AWS 50kt'!$B$24:$B$69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BEE-4FF6-A515-F16EBFA7D713}"/>
            </c:ext>
          </c:extLst>
        </c:ser>
        <c:ser>
          <c:idx val="1"/>
          <c:order val="1"/>
          <c:tx>
            <c:strRef>
              <c:f>'AWS 50kt'!$C$23</c:f>
              <c:strCache>
                <c:ptCount val="1"/>
              </c:strCache>
            </c:strRef>
          </c:tx>
          <c:spPr>
            <a:ln w="15120">
              <a:solidFill>
                <a:srgbClr val="2196F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50kt'!$A$24:$A$69</c:f>
              <c:numCache>
                <c:formatCode>General</c:formatCode>
                <c:ptCount val="46"/>
              </c:numCache>
            </c:numRef>
          </c:cat>
          <c:val>
            <c:numRef>
              <c:f>'AWS 50kt'!$C$24:$C$69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BEE-4FF6-A515-F16EBFA7D713}"/>
            </c:ext>
          </c:extLst>
        </c:ser>
        <c:ser>
          <c:idx val="2"/>
          <c:order val="2"/>
          <c:tx>
            <c:strRef>
              <c:f>'AWS 50kt'!$D$23</c:f>
              <c:strCache>
                <c:ptCount val="1"/>
              </c:strCache>
            </c:strRef>
          </c:tx>
          <c:spPr>
            <a:ln w="15120">
              <a:solidFill>
                <a:srgbClr val="00BCD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50kt'!$A$24:$A$69</c:f>
              <c:numCache>
                <c:formatCode>General</c:formatCode>
                <c:ptCount val="46"/>
              </c:numCache>
            </c:numRef>
          </c:cat>
          <c:val>
            <c:numRef>
              <c:f>'AWS 50kt'!$D$24:$D$69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BEE-4FF6-A515-F16EBFA7D713}"/>
            </c:ext>
          </c:extLst>
        </c:ser>
        <c:ser>
          <c:idx val="3"/>
          <c:order val="3"/>
          <c:tx>
            <c:strRef>
              <c:f>'AWS 50kt'!$E$23</c:f>
              <c:strCache>
                <c:ptCount val="1"/>
              </c:strCache>
            </c:strRef>
          </c:tx>
          <c:spPr>
            <a:ln w="15120">
              <a:solidFill>
                <a:srgbClr val="4CAF5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50kt'!$A$24:$A$69</c:f>
              <c:numCache>
                <c:formatCode>General</c:formatCode>
                <c:ptCount val="46"/>
              </c:numCache>
            </c:numRef>
          </c:cat>
          <c:val>
            <c:numRef>
              <c:f>'AWS 50kt'!$E$24:$E$69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BEE-4FF6-A515-F16EBFA7D713}"/>
            </c:ext>
          </c:extLst>
        </c:ser>
        <c:ser>
          <c:idx val="4"/>
          <c:order val="4"/>
          <c:tx>
            <c:strRef>
              <c:f>'AWS 50kt'!$F$23</c:f>
              <c:strCache>
                <c:ptCount val="1"/>
              </c:strCache>
            </c:strRef>
          </c:tx>
          <c:spPr>
            <a:ln w="15120">
              <a:solidFill>
                <a:srgbClr val="8BC34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50kt'!$A$24:$A$69</c:f>
              <c:numCache>
                <c:formatCode>General</c:formatCode>
                <c:ptCount val="46"/>
              </c:numCache>
            </c:numRef>
          </c:cat>
          <c:val>
            <c:numRef>
              <c:f>'AWS 50kt'!$F$24:$F$69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3BEE-4FF6-A515-F16EBFA7D713}"/>
            </c:ext>
          </c:extLst>
        </c:ser>
        <c:ser>
          <c:idx val="5"/>
          <c:order val="5"/>
          <c:tx>
            <c:strRef>
              <c:f>'AWS 50kt'!$G$23</c:f>
              <c:strCache>
                <c:ptCount val="1"/>
              </c:strCache>
            </c:strRef>
          </c:tx>
          <c:spPr>
            <a:ln w="15120">
              <a:solidFill>
                <a:srgbClr val="CDDC3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50kt'!$A$24:$A$69</c:f>
              <c:numCache>
                <c:formatCode>General</c:formatCode>
                <c:ptCount val="46"/>
              </c:numCache>
            </c:numRef>
          </c:cat>
          <c:val>
            <c:numRef>
              <c:f>'AWS 50kt'!$G$24:$G$69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3BEE-4FF6-A515-F16EBFA7D713}"/>
            </c:ext>
          </c:extLst>
        </c:ser>
        <c:ser>
          <c:idx val="6"/>
          <c:order val="6"/>
          <c:tx>
            <c:strRef>
              <c:f>'AWS 50kt'!$H$23</c:f>
              <c:strCache>
                <c:ptCount val="1"/>
              </c:strCache>
            </c:strRef>
          </c:tx>
          <c:spPr>
            <a:ln w="15120">
              <a:solidFill>
                <a:srgbClr val="FFC10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50kt'!$A$24:$A$69</c:f>
              <c:numCache>
                <c:formatCode>General</c:formatCode>
                <c:ptCount val="46"/>
              </c:numCache>
            </c:numRef>
          </c:cat>
          <c:val>
            <c:numRef>
              <c:f>'AWS 50kt'!$H$24:$H$69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3BEE-4FF6-A515-F16EBFA7D713}"/>
            </c:ext>
          </c:extLst>
        </c:ser>
        <c:ser>
          <c:idx val="7"/>
          <c:order val="7"/>
          <c:tx>
            <c:strRef>
              <c:f>'AWS 50kt'!$I$23</c:f>
              <c:strCache>
                <c:ptCount val="1"/>
              </c:strCache>
            </c:strRef>
          </c:tx>
          <c:spPr>
            <a:ln w="15120">
              <a:solidFill>
                <a:srgbClr val="FF98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50kt'!$A$24:$A$69</c:f>
              <c:numCache>
                <c:formatCode>General</c:formatCode>
                <c:ptCount val="46"/>
              </c:numCache>
            </c:numRef>
          </c:cat>
          <c:val>
            <c:numRef>
              <c:f>'AWS 50kt'!$I$24:$I$69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3BEE-4FF6-A515-F16EBFA7D713}"/>
            </c:ext>
          </c:extLst>
        </c:ser>
        <c:ser>
          <c:idx val="8"/>
          <c:order val="8"/>
          <c:tx>
            <c:strRef>
              <c:f>'AWS 50kt'!$J$23</c:f>
              <c:strCache>
                <c:ptCount val="1"/>
              </c:strCache>
            </c:strRef>
          </c:tx>
          <c:spPr>
            <a:ln w="15120">
              <a:solidFill>
                <a:srgbClr val="FF572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50kt'!$A$24:$A$69</c:f>
              <c:numCache>
                <c:formatCode>General</c:formatCode>
                <c:ptCount val="46"/>
              </c:numCache>
            </c:numRef>
          </c:cat>
          <c:val>
            <c:numRef>
              <c:f>'AWS 50kt'!$J$24:$J$69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3BEE-4FF6-A515-F16EBFA7D713}"/>
            </c:ext>
          </c:extLst>
        </c:ser>
        <c:ser>
          <c:idx val="9"/>
          <c:order val="9"/>
          <c:tx>
            <c:strRef>
              <c:f>'AWS 50kt'!$K$23</c:f>
              <c:strCache>
                <c:ptCount val="1"/>
              </c:strCache>
            </c:strRef>
          </c:tx>
          <c:spPr>
            <a:ln w="15120">
              <a:solidFill>
                <a:srgbClr val="F4433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50kt'!$A$24:$A$69</c:f>
              <c:numCache>
                <c:formatCode>General</c:formatCode>
                <c:ptCount val="46"/>
              </c:numCache>
            </c:numRef>
          </c:cat>
          <c:val>
            <c:numRef>
              <c:f>'AWS 50kt'!$K$24:$K$69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3BEE-4FF6-A515-F16EBFA7D713}"/>
            </c:ext>
          </c:extLst>
        </c:ser>
        <c:ser>
          <c:idx val="10"/>
          <c:order val="10"/>
          <c:tx>
            <c:strRef>
              <c:f>'AWS 50kt'!$L$23</c:f>
              <c:strCache>
                <c:ptCount val="1"/>
              </c:strCache>
            </c:strRef>
          </c:tx>
          <c:spPr>
            <a:ln w="15120">
              <a:solidFill>
                <a:srgbClr val="9C27B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50kt'!$A$24:$A$69</c:f>
              <c:numCache>
                <c:formatCode>General</c:formatCode>
                <c:ptCount val="46"/>
              </c:numCache>
            </c:numRef>
          </c:cat>
          <c:val>
            <c:numRef>
              <c:f>'AWS 50kt'!$L$24:$L$69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3BEE-4FF6-A515-F16EBFA7D713}"/>
            </c:ext>
          </c:extLst>
        </c:ser>
        <c:ser>
          <c:idx val="11"/>
          <c:order val="11"/>
          <c:tx>
            <c:strRef>
              <c:f>'AWS 50kt'!$M$23</c:f>
              <c:strCache>
                <c:ptCount val="1"/>
              </c:strCache>
            </c:strRef>
          </c:tx>
          <c:spPr>
            <a:ln w="15120">
              <a:solidFill>
                <a:srgbClr val="E91E6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50kt'!$A$24:$A$69</c:f>
              <c:numCache>
                <c:formatCode>General</c:formatCode>
                <c:ptCount val="46"/>
              </c:numCache>
            </c:numRef>
          </c:cat>
          <c:val>
            <c:numRef>
              <c:f>'AWS 50kt'!$M$24:$M$69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3BEE-4FF6-A515-F16EBFA7D713}"/>
            </c:ext>
          </c:extLst>
        </c:ser>
        <c:ser>
          <c:idx val="12"/>
          <c:order val="12"/>
          <c:tx>
            <c:strRef>
              <c:f>'AWS 50kt'!$N$23</c:f>
              <c:strCache>
                <c:ptCount val="1"/>
              </c:strCache>
            </c:strRef>
          </c:tx>
          <c:spPr>
            <a:ln w="15120">
              <a:solidFill>
                <a:srgbClr val="7955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50kt'!$A$24:$A$69</c:f>
              <c:numCache>
                <c:formatCode>General</c:formatCode>
                <c:ptCount val="46"/>
              </c:numCache>
            </c:numRef>
          </c:cat>
          <c:val>
            <c:numRef>
              <c:f>'AWS 50kt'!$N$24:$N$69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3BEE-4FF6-A515-F16EBFA7D713}"/>
            </c:ext>
          </c:extLst>
        </c:ser>
        <c:ser>
          <c:idx val="13"/>
          <c:order val="13"/>
          <c:tx>
            <c:strRef>
              <c:f>'AWS 50kt'!$O$23</c:f>
              <c:strCache>
                <c:ptCount val="1"/>
              </c:strCache>
            </c:strRef>
          </c:tx>
          <c:spPr>
            <a:ln w="15120">
              <a:solidFill>
                <a:srgbClr val="607D8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50kt'!$A$24:$A$69</c:f>
              <c:numCache>
                <c:formatCode>General</c:formatCode>
                <c:ptCount val="46"/>
              </c:numCache>
            </c:numRef>
          </c:cat>
          <c:val>
            <c:numRef>
              <c:f>'AWS 50kt'!$O$24:$O$69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3BEE-4FF6-A515-F16EBFA7D713}"/>
            </c:ext>
          </c:extLst>
        </c:ser>
        <c:ser>
          <c:idx val="14"/>
          <c:order val="14"/>
          <c:tx>
            <c:strRef>
              <c:f>'AWS 50kt'!$P$23</c:f>
              <c:strCache>
                <c:ptCount val="1"/>
              </c:strCache>
            </c:strRef>
          </c:tx>
          <c:spPr>
            <a:ln w="15120">
              <a:solidFill>
                <a:srgbClr val="00968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50kt'!$A$24:$A$69</c:f>
              <c:numCache>
                <c:formatCode>General</c:formatCode>
                <c:ptCount val="46"/>
              </c:numCache>
            </c:numRef>
          </c:cat>
          <c:val>
            <c:numRef>
              <c:f>'AWS 50kt'!$P$24:$P$69</c:f>
              <c:numCache>
                <c:formatCode>0.0000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3BEE-4FF6-A515-F16EBFA7D713}"/>
            </c:ext>
          </c:extLst>
        </c:ser>
        <c:ser>
          <c:idx val="15"/>
          <c:order val="15"/>
          <c:tx>
            <c:strRef>
              <c:f>'AWS 50kt'!$Q$23</c:f>
              <c:strCache>
                <c:ptCount val="1"/>
              </c:strCache>
            </c:strRef>
          </c:tx>
          <c:spPr>
            <a:ln w="15120">
              <a:solidFill>
                <a:srgbClr val="FF6F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'AWS 50kt'!$A$24:$A$69</c:f>
              <c:numCache>
                <c:formatCode>General</c:formatCode>
                <c:ptCount val="46"/>
              </c:numCache>
            </c:numRef>
          </c:cat>
          <c:val>
            <c:numRef>
              <c:f>'AWS 50kt'!$Q$24:$Q$69</c:f>
              <c:numCache>
                <c:formatCode>General</c:formatCode>
                <c:ptCount val="4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3BEE-4FF6-A515-F16EBFA7D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9014493"/>
        <c:axId val="90658299"/>
      </c:lineChart>
      <c:catAx>
        <c:axId val="390144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AOA (°)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0658299"/>
        <c:crosses val="autoZero"/>
        <c:auto val="1"/>
        <c:lblAlgn val="ctr"/>
        <c:lblOffset val="100"/>
        <c:noMultiLvlLbl val="0"/>
      </c:catAx>
      <c:valAx>
        <c:axId val="906582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390144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1</xdr:row>
      <xdr:rowOff>0</xdr:rowOff>
    </xdr:from>
    <xdr:to>
      <xdr:col>35</xdr:col>
      <xdr:colOff>471240</xdr:colOff>
      <xdr:row>27</xdr:row>
      <xdr:rowOff>84960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1</xdr:row>
      <xdr:rowOff>0</xdr:rowOff>
    </xdr:from>
    <xdr:to>
      <xdr:col>35</xdr:col>
      <xdr:colOff>471240</xdr:colOff>
      <xdr:row>27</xdr:row>
      <xdr:rowOff>84960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1</xdr:row>
      <xdr:rowOff>0</xdr:rowOff>
    </xdr:from>
    <xdr:to>
      <xdr:col>35</xdr:col>
      <xdr:colOff>471240</xdr:colOff>
      <xdr:row>27</xdr:row>
      <xdr:rowOff>84960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1</xdr:row>
      <xdr:rowOff>0</xdr:rowOff>
    </xdr:from>
    <xdr:to>
      <xdr:col>35</xdr:col>
      <xdr:colOff>471240</xdr:colOff>
      <xdr:row>27</xdr:row>
      <xdr:rowOff>84960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1</xdr:row>
      <xdr:rowOff>0</xdr:rowOff>
    </xdr:from>
    <xdr:to>
      <xdr:col>35</xdr:col>
      <xdr:colOff>471240</xdr:colOff>
      <xdr:row>27</xdr:row>
      <xdr:rowOff>84960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1</xdr:row>
      <xdr:rowOff>0</xdr:rowOff>
    </xdr:from>
    <xdr:to>
      <xdr:col>35</xdr:col>
      <xdr:colOff>471240</xdr:colOff>
      <xdr:row>27</xdr:row>
      <xdr:rowOff>84960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1</xdr:row>
      <xdr:rowOff>0</xdr:rowOff>
    </xdr:from>
    <xdr:to>
      <xdr:col>35</xdr:col>
      <xdr:colOff>471240</xdr:colOff>
      <xdr:row>27</xdr:row>
      <xdr:rowOff>84960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1</xdr:row>
      <xdr:rowOff>0</xdr:rowOff>
    </xdr:from>
    <xdr:to>
      <xdr:col>35</xdr:col>
      <xdr:colOff>471240</xdr:colOff>
      <xdr:row>27</xdr:row>
      <xdr:rowOff>84960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1</xdr:row>
      <xdr:rowOff>0</xdr:rowOff>
    </xdr:from>
    <xdr:to>
      <xdr:col>35</xdr:col>
      <xdr:colOff>471240</xdr:colOff>
      <xdr:row>27</xdr:row>
      <xdr:rowOff>84960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21</xdr:row>
      <xdr:rowOff>0</xdr:rowOff>
    </xdr:from>
    <xdr:to>
      <xdr:col>12</xdr:col>
      <xdr:colOff>127080</xdr:colOff>
      <xdr:row>39</xdr:row>
      <xdr:rowOff>169200</xdr:rowOff>
    </xdr:to>
    <xdr:graphicFrame macro="">
      <xdr:nvGraphicFramePr>
        <xdr:cNvPr id="9" name="Chart 2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21</xdr:row>
      <xdr:rowOff>0</xdr:rowOff>
    </xdr:from>
    <xdr:to>
      <xdr:col>12</xdr:col>
      <xdr:colOff>127440</xdr:colOff>
      <xdr:row>39</xdr:row>
      <xdr:rowOff>169560</xdr:rowOff>
    </xdr:to>
    <xdr:graphicFrame macro="">
      <xdr:nvGraphicFramePr>
        <xdr:cNvPr id="10" name="Chart 3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1</xdr:row>
      <xdr:rowOff>0</xdr:rowOff>
    </xdr:from>
    <xdr:to>
      <xdr:col>35</xdr:col>
      <xdr:colOff>471240</xdr:colOff>
      <xdr:row>27</xdr:row>
      <xdr:rowOff>84960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showGridLines="0" zoomScaleNormal="100" workbookViewId="0"/>
  </sheetViews>
  <sheetFormatPr baseColWidth="10" defaultColWidth="8.7109375" defaultRowHeight="15" x14ac:dyDescent="0.25"/>
  <cols>
    <col min="1" max="4" width="22" style="1" customWidth="1"/>
  </cols>
  <sheetData>
    <row r="1" spans="1:4" ht="27.75" customHeight="1" x14ac:dyDescent="0.25">
      <c r="A1" s="2" t="s">
        <v>0</v>
      </c>
    </row>
    <row r="3" spans="1:4" ht="15" customHeight="1" x14ac:dyDescent="0.25">
      <c r="A3" s="3" t="s">
        <v>1</v>
      </c>
      <c r="B3" s="4" t="s">
        <v>2</v>
      </c>
    </row>
    <row r="4" spans="1:4" ht="15" customHeight="1" x14ac:dyDescent="0.25">
      <c r="A4" s="5" t="s">
        <v>3</v>
      </c>
      <c r="B4" s="6" t="s">
        <v>4</v>
      </c>
    </row>
    <row r="5" spans="1:4" ht="15" customHeight="1" x14ac:dyDescent="0.25">
      <c r="A5" s="3" t="s">
        <v>5</v>
      </c>
      <c r="B5" s="4" t="s">
        <v>6</v>
      </c>
    </row>
    <row r="6" spans="1:4" ht="15" customHeight="1" x14ac:dyDescent="0.25">
      <c r="A6" s="5" t="s">
        <v>7</v>
      </c>
      <c r="B6" s="6" t="s">
        <v>8</v>
      </c>
    </row>
    <row r="7" spans="1:4" ht="15" customHeight="1" x14ac:dyDescent="0.25">
      <c r="A7" s="3" t="s">
        <v>9</v>
      </c>
      <c r="B7" s="4" t="s">
        <v>10</v>
      </c>
    </row>
    <row r="8" spans="1:4" ht="15" customHeight="1" x14ac:dyDescent="0.25">
      <c r="A8" s="7"/>
      <c r="B8" s="8"/>
    </row>
    <row r="9" spans="1:4" ht="15" customHeight="1" x14ac:dyDescent="0.25">
      <c r="A9" s="3" t="s">
        <v>11</v>
      </c>
      <c r="B9" s="9">
        <v>1</v>
      </c>
      <c r="C9" s="10" t="s">
        <v>12</v>
      </c>
    </row>
    <row r="10" spans="1:4" ht="15" customHeight="1" x14ac:dyDescent="0.25">
      <c r="A10" s="7"/>
      <c r="B10" s="8"/>
    </row>
    <row r="11" spans="1:4" ht="15" customHeight="1" x14ac:dyDescent="0.25">
      <c r="A11" s="11" t="s">
        <v>13</v>
      </c>
    </row>
    <row r="12" spans="1:4" ht="15" customHeight="1" x14ac:dyDescent="0.25">
      <c r="A12" s="10" t="s">
        <v>14</v>
      </c>
    </row>
    <row r="13" spans="1:4" ht="15" customHeight="1" x14ac:dyDescent="0.25">
      <c r="A13" s="12" t="s">
        <v>15</v>
      </c>
    </row>
    <row r="14" spans="1:4" ht="15" customHeight="1" x14ac:dyDescent="0.25">
      <c r="A14" s="13" t="s">
        <v>16</v>
      </c>
      <c r="B14" s="14"/>
      <c r="C14" s="14"/>
      <c r="D14" s="14"/>
    </row>
    <row r="15" spans="1:4" ht="15" customHeight="1" x14ac:dyDescent="0.25">
      <c r="A15" s="15" t="s">
        <v>17</v>
      </c>
      <c r="B15" s="16"/>
      <c r="C15" s="17"/>
      <c r="D15" s="18"/>
    </row>
    <row r="16" spans="1:4" ht="15" customHeight="1" x14ac:dyDescent="0.25">
      <c r="A16" s="19"/>
      <c r="B16" s="20"/>
      <c r="C16" s="21"/>
      <c r="D16" s="22"/>
    </row>
    <row r="17" spans="1:4" ht="15" customHeight="1" x14ac:dyDescent="0.25">
      <c r="A17" s="23"/>
      <c r="B17" s="16"/>
      <c r="C17" s="17"/>
      <c r="D17" s="18"/>
    </row>
    <row r="18" spans="1:4" ht="15" customHeight="1" x14ac:dyDescent="0.25">
      <c r="A18" s="24"/>
      <c r="B18" s="20"/>
      <c r="C18" s="21"/>
      <c r="D18" s="22"/>
    </row>
    <row r="19" spans="1:4" ht="15" customHeight="1" x14ac:dyDescent="0.25">
      <c r="A19" s="23"/>
      <c r="B19" s="16"/>
      <c r="C19" s="17"/>
      <c r="D19" s="18"/>
    </row>
    <row r="20" spans="1:4" ht="15" customHeight="1" x14ac:dyDescent="0.25">
      <c r="A20" s="24"/>
      <c r="B20" s="20"/>
      <c r="C20" s="21"/>
      <c r="D20" s="22"/>
    </row>
    <row r="21" spans="1:4" ht="15" customHeight="1" x14ac:dyDescent="0.25">
      <c r="A21" s="23"/>
      <c r="B21" s="16"/>
      <c r="C21" s="17"/>
      <c r="D21" s="18"/>
    </row>
    <row r="22" spans="1:4" ht="15" customHeight="1" x14ac:dyDescent="0.25">
      <c r="A22" s="24"/>
      <c r="B22" s="20"/>
      <c r="C22" s="21"/>
      <c r="D22" s="22"/>
    </row>
    <row r="23" spans="1:4" ht="15" customHeight="1" x14ac:dyDescent="0.25">
      <c r="A23" s="23"/>
      <c r="B23" s="16"/>
      <c r="C23" s="17"/>
      <c r="D23" s="18"/>
    </row>
    <row r="24" spans="1:4" ht="15" customHeight="1" x14ac:dyDescent="0.25">
      <c r="A24" s="24"/>
      <c r="B24" s="20"/>
      <c r="C24" s="21"/>
      <c r="D24" s="2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69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7109375" defaultRowHeight="15" x14ac:dyDescent="0.25"/>
  <cols>
    <col min="1" max="1" width="8" style="1" customWidth="1"/>
    <col min="2" max="17" width="7" style="1" customWidth="1"/>
    <col min="18" max="22" width="8" style="1" customWidth="1"/>
  </cols>
  <sheetData>
    <row r="1" spans="1:22" ht="19.5" customHeight="1" x14ac:dyDescent="0.25">
      <c r="A1" s="25" t="s">
        <v>18</v>
      </c>
    </row>
    <row r="2" spans="1:22" ht="15" customHeight="1" x14ac:dyDescent="0.25">
      <c r="B2" s="26" t="s">
        <v>19</v>
      </c>
      <c r="L2" s="27"/>
      <c r="M2" s="11" t="s">
        <v>20</v>
      </c>
    </row>
    <row r="3" spans="1:22" ht="15" customHeight="1" x14ac:dyDescent="0.25">
      <c r="A3" s="28" t="s">
        <v>21</v>
      </c>
      <c r="B3" s="28" t="s">
        <v>22</v>
      </c>
      <c r="C3" s="28" t="s">
        <v>23</v>
      </c>
      <c r="D3" s="28" t="s">
        <v>24</v>
      </c>
      <c r="E3" s="28" t="s">
        <v>25</v>
      </c>
      <c r="F3" s="28" t="s">
        <v>26</v>
      </c>
      <c r="G3" s="28" t="s">
        <v>27</v>
      </c>
      <c r="H3" s="28" t="s">
        <v>28</v>
      </c>
      <c r="I3" s="28" t="s">
        <v>29</v>
      </c>
      <c r="J3" s="28" t="s">
        <v>30</v>
      </c>
      <c r="K3" s="29" t="s">
        <v>31</v>
      </c>
      <c r="L3" s="28" t="s">
        <v>21</v>
      </c>
      <c r="M3" s="28" t="s">
        <v>22</v>
      </c>
      <c r="N3" s="28" t="s">
        <v>23</v>
      </c>
      <c r="O3" s="28" t="s">
        <v>24</v>
      </c>
      <c r="P3" s="28" t="s">
        <v>25</v>
      </c>
      <c r="Q3" s="28" t="s">
        <v>26</v>
      </c>
      <c r="R3" s="28" t="s">
        <v>27</v>
      </c>
      <c r="S3" s="28" t="s">
        <v>28</v>
      </c>
      <c r="T3" s="28" t="s">
        <v>29</v>
      </c>
      <c r="U3" s="29" t="s">
        <v>30</v>
      </c>
      <c r="V3" s="29" t="s">
        <v>31</v>
      </c>
    </row>
    <row r="4" spans="1:22" ht="15" customHeight="1" x14ac:dyDescent="0.25">
      <c r="A4" s="30" t="s">
        <v>32</v>
      </c>
      <c r="B4" s="31">
        <v>0</v>
      </c>
      <c r="C4" s="31">
        <v>0.52700000000000002</v>
      </c>
      <c r="D4" s="31">
        <v>1.022</v>
      </c>
      <c r="E4" s="31">
        <v>1.407</v>
      </c>
      <c r="F4" s="31">
        <v>1.6180000000000001</v>
      </c>
      <c r="G4" s="31">
        <v>1.4370000000000001</v>
      </c>
      <c r="H4" s="31">
        <v>1.2310000000000001</v>
      </c>
      <c r="I4" s="31">
        <v>1.117</v>
      </c>
      <c r="J4" s="31">
        <v>1.02</v>
      </c>
      <c r="K4" s="32">
        <v>0.93100000000000005</v>
      </c>
      <c r="L4" s="33" t="s">
        <v>32</v>
      </c>
      <c r="M4" s="31">
        <f>0.01*1.552+0</f>
        <v>1.5520000000000001E-2</v>
      </c>
      <c r="N4" s="31">
        <f>0.01*1.552+0.0257</f>
        <v>4.122E-2</v>
      </c>
      <c r="O4" s="31">
        <f>0.01*1.552+0.0966</f>
        <v>0.11212000000000001</v>
      </c>
      <c r="P4" s="31">
        <f>0.01*1.552+0.183</f>
        <v>0.19852</v>
      </c>
      <c r="Q4" s="31">
        <f>0.01*1.552+0.2421</f>
        <v>0.25762000000000002</v>
      </c>
      <c r="R4" s="31">
        <f>0.01*1.552+0.1909</f>
        <v>0.20641999999999999</v>
      </c>
      <c r="S4" s="31">
        <f>0.01*1.552+0.418</f>
        <v>0.43351999999999996</v>
      </c>
      <c r="T4" s="31">
        <f>0.01*1.552+0.5043</f>
        <v>0.51981999999999995</v>
      </c>
      <c r="U4" s="34">
        <f>0.01*1.552+0.5957</f>
        <v>0.61121999999999999</v>
      </c>
      <c r="V4" s="34">
        <f>0.01*1.552+0.6894</f>
        <v>0.70491999999999999</v>
      </c>
    </row>
    <row r="5" spans="1:22" ht="15" customHeight="1" x14ac:dyDescent="0.25">
      <c r="A5" s="30" t="s">
        <v>33</v>
      </c>
      <c r="B5" s="31">
        <v>0.126</v>
      </c>
      <c r="C5" s="31">
        <v>0.64700000000000002</v>
      </c>
      <c r="D5" s="31">
        <v>1.109</v>
      </c>
      <c r="E5" s="31">
        <v>1.47</v>
      </c>
      <c r="F5" s="31">
        <v>1.661</v>
      </c>
      <c r="G5" s="31">
        <v>1.49</v>
      </c>
      <c r="H5" s="31">
        <v>1.256</v>
      </c>
      <c r="I5" s="31">
        <v>1.1359999999999999</v>
      </c>
      <c r="J5" s="31">
        <v>1.0349999999999999</v>
      </c>
      <c r="K5" s="32">
        <v>0.94299999999999995</v>
      </c>
      <c r="L5" s="33" t="s">
        <v>33</v>
      </c>
      <c r="M5" s="31">
        <f>0.0121*1.552+0</f>
        <v>1.8779199999999999E-2</v>
      </c>
      <c r="N5" s="31">
        <f>0.0121*1.552+0.0242</f>
        <v>4.2979199999999995E-2</v>
      </c>
      <c r="O5" s="31">
        <f>0.0121*1.552+0.0892</f>
        <v>0.1079792</v>
      </c>
      <c r="P5" s="31">
        <f>0.0121*1.552+0.1688</f>
        <v>0.1875792</v>
      </c>
      <c r="Q5" s="31">
        <f>0.0121*1.552+0.2238</f>
        <v>0.24257919999999999</v>
      </c>
      <c r="R5" s="31">
        <f>0.0121*1.552+0.1865</f>
        <v>0.2052792</v>
      </c>
      <c r="S5" s="31">
        <f>0.0121*1.552+0.4328</f>
        <v>0.45157920000000001</v>
      </c>
      <c r="T5" s="31">
        <f>0.0121*1.552+0.5182</f>
        <v>0.53697919999999999</v>
      </c>
      <c r="U5" s="34">
        <f>0.0121*1.552+0.6086</f>
        <v>0.62737920000000003</v>
      </c>
      <c r="V5" s="34">
        <f>0.0121*1.552+0.7011</f>
        <v>0.71987919999999994</v>
      </c>
    </row>
    <row r="6" spans="1:22" ht="15" customHeight="1" x14ac:dyDescent="0.25">
      <c r="A6" s="30" t="s">
        <v>34</v>
      </c>
      <c r="B6" s="31">
        <v>0.252</v>
      </c>
      <c r="C6" s="31">
        <v>0.76600000000000001</v>
      </c>
      <c r="D6" s="31">
        <v>1.196</v>
      </c>
      <c r="E6" s="31">
        <v>1.534</v>
      </c>
      <c r="F6" s="31">
        <v>1.704</v>
      </c>
      <c r="G6" s="31">
        <v>1.5429999999999999</v>
      </c>
      <c r="H6" s="31">
        <v>1.2809999999999999</v>
      </c>
      <c r="I6" s="31">
        <v>1.155</v>
      </c>
      <c r="J6" s="31">
        <v>1.05</v>
      </c>
      <c r="K6" s="32">
        <v>0.95399999999999996</v>
      </c>
      <c r="L6" s="33" t="s">
        <v>34</v>
      </c>
      <c r="M6" s="31">
        <f>0.0142*1.552+0</f>
        <v>2.2038400000000003E-2</v>
      </c>
      <c r="N6" s="31">
        <f>0.0142*1.552+0.0226</f>
        <v>4.4638400000000002E-2</v>
      </c>
      <c r="O6" s="31">
        <f>0.0142*1.552+0.0818</f>
        <v>0.1038384</v>
      </c>
      <c r="P6" s="31">
        <f>0.0142*1.552+0.1545</f>
        <v>0.17653840000000001</v>
      </c>
      <c r="Q6" s="31">
        <f>0.0142*1.552+0.2054</f>
        <v>0.22743840000000001</v>
      </c>
      <c r="R6" s="31">
        <f>0.0142*1.552+0.1821</f>
        <v>0.20413840000000003</v>
      </c>
      <c r="S6" s="31">
        <f>0.0142*1.552+0.4477</f>
        <v>0.4697384</v>
      </c>
      <c r="T6" s="31">
        <f>0.0142*1.552+0.5321</f>
        <v>0.55413840000000003</v>
      </c>
      <c r="U6" s="34">
        <f>0.0142*1.552+0.6215</f>
        <v>0.64353840000000007</v>
      </c>
      <c r="V6" s="34">
        <f>0.0142*1.552+0.7129</f>
        <v>0.73493839999999999</v>
      </c>
    </row>
    <row r="7" spans="1:22" ht="15" customHeight="1" x14ac:dyDescent="0.25">
      <c r="A7" s="30" t="s">
        <v>35</v>
      </c>
      <c r="B7" s="31">
        <v>0.376</v>
      </c>
      <c r="C7" s="31">
        <v>0.873</v>
      </c>
      <c r="D7" s="31">
        <v>1.278</v>
      </c>
      <c r="E7" s="31">
        <v>1.591</v>
      </c>
      <c r="F7" s="31">
        <v>1.738</v>
      </c>
      <c r="G7" s="31">
        <v>1.585</v>
      </c>
      <c r="H7" s="31">
        <v>1.3009999999999999</v>
      </c>
      <c r="I7" s="31">
        <v>1.171</v>
      </c>
      <c r="J7" s="31">
        <v>1.0620000000000001</v>
      </c>
      <c r="K7" s="32">
        <v>0.96399999999999997</v>
      </c>
      <c r="L7" s="33" t="s">
        <v>35</v>
      </c>
      <c r="M7" s="31">
        <f>0.0163*1.552+0</f>
        <v>2.52976E-2</v>
      </c>
      <c r="N7" s="31">
        <f>0.0163*1.552+0.0201</f>
        <v>4.5397599999999996E-2</v>
      </c>
      <c r="O7" s="31">
        <f>0.0163*1.552+0.0745</f>
        <v>9.97976E-2</v>
      </c>
      <c r="P7" s="31">
        <f>0.0163*1.552+0.1407</f>
        <v>0.1659976</v>
      </c>
      <c r="Q7" s="31">
        <f>0.0163*1.552+0.1882</f>
        <v>0.21349760000000001</v>
      </c>
      <c r="R7" s="31">
        <f>0.0163*1.552+0.1778</f>
        <v>0.20309760000000002</v>
      </c>
      <c r="S7" s="31">
        <f>0.0163*1.552+0.4618</f>
        <v>0.48709759999999996</v>
      </c>
      <c r="T7" s="31">
        <f>0.0163*1.552+0.5453</f>
        <v>0.57059760000000004</v>
      </c>
      <c r="U7" s="34">
        <f>0.0163*1.552+0.6338</f>
        <v>0.65909760000000006</v>
      </c>
      <c r="V7" s="34">
        <f>0.0163*1.552+0.724</f>
        <v>0.74929760000000001</v>
      </c>
    </row>
    <row r="8" spans="1:22" ht="15" customHeight="1" x14ac:dyDescent="0.25">
      <c r="A8" s="30" t="s">
        <v>36</v>
      </c>
      <c r="B8" s="31">
        <v>0.499</v>
      </c>
      <c r="C8" s="31">
        <v>0.97899999999999998</v>
      </c>
      <c r="D8" s="31">
        <v>1.36</v>
      </c>
      <c r="E8" s="31">
        <v>1.647</v>
      </c>
      <c r="F8" s="31">
        <v>1.7729999999999999</v>
      </c>
      <c r="G8" s="31">
        <v>1.627</v>
      </c>
      <c r="H8" s="31">
        <v>1.321</v>
      </c>
      <c r="I8" s="31">
        <v>1.1870000000000001</v>
      </c>
      <c r="J8" s="31">
        <v>1.075</v>
      </c>
      <c r="K8" s="32">
        <v>0.97299999999999998</v>
      </c>
      <c r="L8" s="33" t="s">
        <v>36</v>
      </c>
      <c r="M8" s="31">
        <f>0.0185*1.552+0</f>
        <v>2.8711999999999998E-2</v>
      </c>
      <c r="N8" s="31">
        <f>0.0185*1.552+0.0175</f>
        <v>4.6212000000000003E-2</v>
      </c>
      <c r="O8" s="31">
        <f>0.0185*1.552+0.0672</f>
        <v>9.5911999999999997E-2</v>
      </c>
      <c r="P8" s="31">
        <f>0.0185*1.552+0.1269</f>
        <v>0.155612</v>
      </c>
      <c r="Q8" s="31">
        <f>0.0185*1.552+0.171</f>
        <v>0.199712</v>
      </c>
      <c r="R8" s="31">
        <f>0.0185*1.552+0.1735</f>
        <v>0.20221199999999998</v>
      </c>
      <c r="S8" s="31">
        <f>0.0185*1.552+0.4759</f>
        <v>0.50461199999999995</v>
      </c>
      <c r="T8" s="31">
        <f>0.0185*1.552+0.5585</f>
        <v>0.58721199999999996</v>
      </c>
      <c r="U8" s="34">
        <f>0.0185*1.552+0.646</f>
        <v>0.67471199999999998</v>
      </c>
      <c r="V8" s="34">
        <f>0.0185*1.552+0.7351</f>
        <v>0.76381199999999994</v>
      </c>
    </row>
    <row r="9" spans="1:22" ht="15" customHeight="1" x14ac:dyDescent="0.25">
      <c r="A9" s="30" t="s">
        <v>37</v>
      </c>
      <c r="B9" s="31">
        <v>0.61399999999999999</v>
      </c>
      <c r="C9" s="31">
        <v>1.077</v>
      </c>
      <c r="D9" s="31">
        <v>1.44</v>
      </c>
      <c r="E9" s="31">
        <v>1.6919999999999999</v>
      </c>
      <c r="F9" s="31">
        <v>1.8009999999999999</v>
      </c>
      <c r="G9" s="31">
        <v>1.66</v>
      </c>
      <c r="H9" s="31">
        <v>1.3380000000000001</v>
      </c>
      <c r="I9" s="31">
        <v>1.2</v>
      </c>
      <c r="J9" s="31">
        <v>1.0860000000000001</v>
      </c>
      <c r="K9" s="32">
        <v>0.98099999999999998</v>
      </c>
      <c r="L9" s="33" t="s">
        <v>37</v>
      </c>
      <c r="M9" s="31">
        <f>0.0206*1.552+0</f>
        <v>3.1971199999999998E-2</v>
      </c>
      <c r="N9" s="31">
        <f>0.0206*1.552+0.0151</f>
        <v>4.7071200000000001E-2</v>
      </c>
      <c r="O9" s="31">
        <f>0.0206*1.552+0.0614</f>
        <v>9.3371200000000001E-2</v>
      </c>
      <c r="P9" s="31">
        <f>0.0206*1.552+0.1143</f>
        <v>0.14627119999999999</v>
      </c>
      <c r="Q9" s="31">
        <f>0.0206*1.552+0.1573</f>
        <v>0.1892712</v>
      </c>
      <c r="R9" s="31">
        <f>0.0206*1.552+0.1717</f>
        <v>0.2036712</v>
      </c>
      <c r="S9" s="31">
        <f>0.0206*1.552+0.4948</f>
        <v>0.5267712</v>
      </c>
      <c r="T9" s="31">
        <f>0.0206*1.552+0.5763</f>
        <v>0.60827120000000001</v>
      </c>
      <c r="U9" s="34">
        <f>0.0206*1.552+0.6624</f>
        <v>0.69437119999999997</v>
      </c>
      <c r="V9" s="34">
        <f>0.0206*1.552+0.7502</f>
        <v>0.78217119999999996</v>
      </c>
    </row>
    <row r="10" spans="1:22" ht="15" customHeight="1" x14ac:dyDescent="0.25">
      <c r="A10" s="30" t="s">
        <v>38</v>
      </c>
      <c r="B10" s="31">
        <v>0.72899999999999998</v>
      </c>
      <c r="C10" s="31">
        <v>1.175</v>
      </c>
      <c r="D10" s="31">
        <v>1.5189999999999999</v>
      </c>
      <c r="E10" s="31">
        <v>1.738</v>
      </c>
      <c r="F10" s="31">
        <v>1.83</v>
      </c>
      <c r="G10" s="31">
        <v>1.694</v>
      </c>
      <c r="H10" s="31">
        <v>1.355</v>
      </c>
      <c r="I10" s="31">
        <v>1.2130000000000001</v>
      </c>
      <c r="J10" s="31">
        <v>1.0960000000000001</v>
      </c>
      <c r="K10" s="32">
        <v>0.98899999999999999</v>
      </c>
      <c r="L10" s="33" t="s">
        <v>38</v>
      </c>
      <c r="M10" s="31">
        <f>0.0227*1.552+0</f>
        <v>3.5230400000000002E-2</v>
      </c>
      <c r="N10" s="31">
        <f>0.0227*1.552+0.0127</f>
        <v>4.7930399999999998E-2</v>
      </c>
      <c r="O10" s="31">
        <f>0.0227*1.552+0.0557</f>
        <v>9.0930399999999995E-2</v>
      </c>
      <c r="P10" s="31">
        <f>0.0227*1.552+0.1017</f>
        <v>0.13693040000000001</v>
      </c>
      <c r="Q10" s="31">
        <f>0.0227*1.552+0.1435</f>
        <v>0.17873039999999998</v>
      </c>
      <c r="R10" s="31">
        <f>0.0227*1.552+0.1699</f>
        <v>0.20513039999999999</v>
      </c>
      <c r="S10" s="31">
        <f>0.0227*1.552+0.5137</f>
        <v>0.54893040000000004</v>
      </c>
      <c r="T10" s="31">
        <f>0.0227*1.552+0.5941</f>
        <v>0.62933039999999996</v>
      </c>
      <c r="U10" s="34">
        <f>0.0227*1.552+0.6789</f>
        <v>0.71413039999999994</v>
      </c>
      <c r="V10" s="34">
        <f>0.0227*1.552+0.7653</f>
        <v>0.80053039999999998</v>
      </c>
    </row>
    <row r="11" spans="1:22" ht="15" customHeight="1" x14ac:dyDescent="0.25">
      <c r="A11" s="30" t="s">
        <v>39</v>
      </c>
      <c r="B11" s="31">
        <v>0.83299999999999996</v>
      </c>
      <c r="C11" s="31">
        <v>1.2729999999999999</v>
      </c>
      <c r="D11" s="31">
        <v>1.5960000000000001</v>
      </c>
      <c r="E11" s="31">
        <v>1.776</v>
      </c>
      <c r="F11" s="31">
        <v>1.8560000000000001</v>
      </c>
      <c r="G11" s="31">
        <v>1.722</v>
      </c>
      <c r="H11" s="31">
        <v>1.37</v>
      </c>
      <c r="I11" s="31">
        <v>1.2250000000000001</v>
      </c>
      <c r="J11" s="31">
        <v>1.105</v>
      </c>
      <c r="K11" s="32">
        <v>0.996</v>
      </c>
      <c r="L11" s="33" t="s">
        <v>39</v>
      </c>
      <c r="M11" s="31">
        <f>0.0484*1.552+0</f>
        <v>7.5116799999999997E-2</v>
      </c>
      <c r="N11" s="31">
        <f>0.0484*1.552+0.0053</f>
        <v>8.0416799999999997E-2</v>
      </c>
      <c r="O11" s="31">
        <f>0.0484*1.552+0.0429</f>
        <v>0.11801680000000001</v>
      </c>
      <c r="P11" s="31">
        <f>0.0484*1.552+0.085</f>
        <v>0.1601168</v>
      </c>
      <c r="Q11" s="31">
        <f>0.0484*1.552+0.1452</f>
        <v>0.22031679999999998</v>
      </c>
      <c r="R11" s="31">
        <f>0.0484*1.552+0.1965</f>
        <v>0.27161679999999999</v>
      </c>
      <c r="S11" s="31">
        <f>0.0484*1.552+0.5044</f>
        <v>0.57951679999999994</v>
      </c>
      <c r="T11" s="31">
        <f>0.0484*1.552+0.5839</f>
        <v>0.65901679999999996</v>
      </c>
      <c r="U11" s="34">
        <f>0.0484*1.552+0.6677</f>
        <v>0.74281679999999994</v>
      </c>
      <c r="V11" s="34">
        <f>0.0484*1.552+0.753</f>
        <v>0.82811679999999999</v>
      </c>
    </row>
    <row r="12" spans="1:22" ht="15" customHeight="1" x14ac:dyDescent="0.25">
      <c r="A12" s="30" t="s">
        <v>40</v>
      </c>
      <c r="B12" s="31">
        <v>0.93600000000000005</v>
      </c>
      <c r="C12" s="31">
        <v>1.371</v>
      </c>
      <c r="D12" s="31">
        <v>1.6739999999999999</v>
      </c>
      <c r="E12" s="31">
        <v>1.8140000000000001</v>
      </c>
      <c r="F12" s="31">
        <v>1.881</v>
      </c>
      <c r="G12" s="31">
        <v>1.7490000000000001</v>
      </c>
      <c r="H12" s="31">
        <v>1.385</v>
      </c>
      <c r="I12" s="31">
        <v>1.2370000000000001</v>
      </c>
      <c r="J12" s="31">
        <v>1.1140000000000001</v>
      </c>
      <c r="K12" s="32">
        <v>1.0029999999999999</v>
      </c>
      <c r="L12" s="33" t="s">
        <v>40</v>
      </c>
      <c r="M12" s="31">
        <f>0.0719*1.552+0.0022</f>
        <v>0.11378880000000001</v>
      </c>
      <c r="N12" s="31">
        <f>0.0719*1.552+0</f>
        <v>0.11158880000000002</v>
      </c>
      <c r="O12" s="31">
        <f>0.0719*1.552+0.0323</f>
        <v>0.14388880000000001</v>
      </c>
      <c r="P12" s="31">
        <f>0.0719*1.552+0.0706</f>
        <v>0.18218880000000001</v>
      </c>
      <c r="Q12" s="31">
        <f>0.0719*1.552+0.1492</f>
        <v>0.26078880000000004</v>
      </c>
      <c r="R12" s="31">
        <f>0.0719*1.552+0.2253</f>
        <v>0.33688879999999999</v>
      </c>
      <c r="S12" s="31">
        <f>0.0719*1.552+0.4973</f>
        <v>0.60888880000000001</v>
      </c>
      <c r="T12" s="31">
        <f>0.0719*1.552+0.5759</f>
        <v>0.68748880000000001</v>
      </c>
      <c r="U12" s="34">
        <f>0.0719*1.552+0.6587</f>
        <v>0.7702888</v>
      </c>
      <c r="V12" s="34">
        <f>0.0719*1.552+0.7428</f>
        <v>0.85438880000000006</v>
      </c>
    </row>
    <row r="13" spans="1:22" ht="15" customHeight="1" x14ac:dyDescent="0.25">
      <c r="A13" s="30" t="s">
        <v>41</v>
      </c>
      <c r="B13" s="31">
        <v>1.032</v>
      </c>
      <c r="C13" s="31">
        <v>1.462</v>
      </c>
      <c r="D13" s="31">
        <v>1.748</v>
      </c>
      <c r="E13" s="31">
        <v>1.8540000000000001</v>
      </c>
      <c r="F13" s="31">
        <v>1.9039999999999999</v>
      </c>
      <c r="G13" s="31">
        <v>1.772</v>
      </c>
      <c r="H13" s="31">
        <v>1.3979999999999999</v>
      </c>
      <c r="I13" s="31">
        <v>1.2470000000000001</v>
      </c>
      <c r="J13" s="31">
        <v>1.1220000000000001</v>
      </c>
      <c r="K13" s="32">
        <v>1.01</v>
      </c>
      <c r="L13" s="33" t="s">
        <v>41</v>
      </c>
      <c r="M13" s="31">
        <f>0.0671*1.552+0.001</f>
        <v>0.10513920000000002</v>
      </c>
      <c r="N13" s="31">
        <f>0.0671*1.552+0</f>
        <v>0.10413920000000002</v>
      </c>
      <c r="O13" s="31">
        <f>0.0671*1.552+0.0297</f>
        <v>0.13383920000000002</v>
      </c>
      <c r="P13" s="31">
        <f>0.0671*1.552+0.0677</f>
        <v>0.17183920000000003</v>
      </c>
      <c r="Q13" s="31">
        <f>0.0671*1.552+0.1448</f>
        <v>0.24893920000000003</v>
      </c>
      <c r="R13" s="31">
        <f>0.0671*1.552+0.2116</f>
        <v>0.3157392</v>
      </c>
      <c r="S13" s="31">
        <f>0.0671*1.552+0.5182</f>
        <v>0.62233919999999998</v>
      </c>
      <c r="T13" s="31">
        <f>0.0671*1.552+0.596</f>
        <v>0.70013919999999996</v>
      </c>
      <c r="U13" s="34">
        <f>0.0671*1.552+0.6778</f>
        <v>0.78193919999999995</v>
      </c>
      <c r="V13" s="34">
        <f>0.0671*1.552+0.7608</f>
        <v>0.86493920000000002</v>
      </c>
    </row>
    <row r="14" spans="1:22" ht="15" customHeight="1" x14ac:dyDescent="0.25">
      <c r="A14" s="30" t="s">
        <v>42</v>
      </c>
      <c r="B14" s="31">
        <v>1.129</v>
      </c>
      <c r="C14" s="31">
        <v>1.554</v>
      </c>
      <c r="D14" s="31">
        <v>1.821</v>
      </c>
      <c r="E14" s="31">
        <v>1.8939999999999999</v>
      </c>
      <c r="F14" s="31">
        <v>1.927</v>
      </c>
      <c r="G14" s="31">
        <v>1.796</v>
      </c>
      <c r="H14" s="31">
        <v>1.4119999999999999</v>
      </c>
      <c r="I14" s="31">
        <v>1.2569999999999999</v>
      </c>
      <c r="J14" s="31">
        <v>1.1299999999999999</v>
      </c>
      <c r="K14" s="32">
        <v>1.016</v>
      </c>
      <c r="L14" s="33" t="s">
        <v>42</v>
      </c>
      <c r="M14" s="31">
        <f>0.0622*1.552+0</f>
        <v>9.6534400000000006E-2</v>
      </c>
      <c r="N14" s="31">
        <f>0.0622*1.552+0.0001</f>
        <v>9.6634400000000009E-2</v>
      </c>
      <c r="O14" s="31">
        <f>0.0622*1.552+0.0272</f>
        <v>0.12373440000000001</v>
      </c>
      <c r="P14" s="31">
        <f>0.0622*1.552+0.0649</f>
        <v>0.16143440000000001</v>
      </c>
      <c r="Q14" s="31">
        <f>0.0622*1.552+0.1405</f>
        <v>0.23703440000000003</v>
      </c>
      <c r="R14" s="31">
        <f>0.0622*1.552+0.198</f>
        <v>0.29453440000000003</v>
      </c>
      <c r="S14" s="31">
        <f>0.0622*1.552+0.5393</f>
        <v>0.63583440000000002</v>
      </c>
      <c r="T14" s="31">
        <f>0.0622*1.552+0.6162</f>
        <v>0.71273439999999999</v>
      </c>
      <c r="U14" s="34">
        <f>0.0622*1.552+0.697</f>
        <v>0.79353439999999997</v>
      </c>
      <c r="V14" s="34">
        <f>0.0622*1.552+0.7789</f>
        <v>0.87543440000000006</v>
      </c>
    </row>
    <row r="15" spans="1:22" ht="15" customHeight="1" x14ac:dyDescent="0.25">
      <c r="A15" s="30" t="s">
        <v>43</v>
      </c>
      <c r="B15" s="31">
        <v>1.218</v>
      </c>
      <c r="C15" s="31">
        <v>1.631</v>
      </c>
      <c r="D15" s="31">
        <v>1.887</v>
      </c>
      <c r="E15" s="31">
        <v>1.946</v>
      </c>
      <c r="F15" s="31">
        <v>1.9490000000000001</v>
      </c>
      <c r="G15" s="31">
        <v>1.821</v>
      </c>
      <c r="H15" s="31">
        <v>1.4339999999999999</v>
      </c>
      <c r="I15" s="31">
        <v>1.274</v>
      </c>
      <c r="J15" s="31">
        <v>1.143</v>
      </c>
      <c r="K15" s="32">
        <v>1.026</v>
      </c>
      <c r="L15" s="33" t="s">
        <v>43</v>
      </c>
      <c r="M15" s="31">
        <f>0.0562*1.552+0</f>
        <v>8.7222400000000005E-2</v>
      </c>
      <c r="N15" s="31">
        <f>0.0562*1.552+0.0007</f>
        <v>8.7922400000000012E-2</v>
      </c>
      <c r="O15" s="31">
        <f>0.0562*1.552+0.026</f>
        <v>0.1132224</v>
      </c>
      <c r="P15" s="31">
        <f>0.0562*1.552+0.0667</f>
        <v>0.15392240000000001</v>
      </c>
      <c r="Q15" s="31">
        <f>0.0562*1.552+0.1401</f>
        <v>0.22732240000000001</v>
      </c>
      <c r="R15" s="31">
        <f>0.0562*1.552+0.3371</f>
        <v>0.42432239999999999</v>
      </c>
      <c r="S15" s="31">
        <f>0.0562*1.552+0.5292</f>
        <v>0.61642240000000004</v>
      </c>
      <c r="T15" s="31">
        <f>0.0562*1.552+0.6069</f>
        <v>0.69412240000000003</v>
      </c>
      <c r="U15" s="34">
        <f>0.0562*1.552+0.6887</f>
        <v>0.77592240000000001</v>
      </c>
      <c r="V15" s="34">
        <f>0.0562*1.552+0.7717</f>
        <v>0.85892240000000009</v>
      </c>
    </row>
    <row r="16" spans="1:22" ht="15" customHeight="1" x14ac:dyDescent="0.25">
      <c r="A16" s="30" t="s">
        <v>44</v>
      </c>
      <c r="B16" s="31">
        <v>1.3069999999999999</v>
      </c>
      <c r="C16" s="31">
        <v>1.7090000000000001</v>
      </c>
      <c r="D16" s="31">
        <v>1.954</v>
      </c>
      <c r="E16" s="31">
        <v>1.9970000000000001</v>
      </c>
      <c r="F16" s="31">
        <v>1.9710000000000001</v>
      </c>
      <c r="G16" s="31">
        <v>1.8460000000000001</v>
      </c>
      <c r="H16" s="31">
        <v>1.456</v>
      </c>
      <c r="I16" s="31">
        <v>1.292</v>
      </c>
      <c r="J16" s="31">
        <v>1.157</v>
      </c>
      <c r="K16" s="32">
        <v>1.036</v>
      </c>
      <c r="L16" s="33" t="s">
        <v>44</v>
      </c>
      <c r="M16" s="31">
        <f>0.0503*1.552+0</f>
        <v>7.8065599999999999E-2</v>
      </c>
      <c r="N16" s="31">
        <f>0.0503*1.552+0.0013</f>
        <v>7.9365599999999994E-2</v>
      </c>
      <c r="O16" s="31">
        <f>0.0503*1.552+0.0248</f>
        <v>0.1028656</v>
      </c>
      <c r="P16" s="31">
        <f>0.0503*1.552+0.0684</f>
        <v>0.1464656</v>
      </c>
      <c r="Q16" s="31">
        <f>0.0503*1.552+0.1397</f>
        <v>0.2177656</v>
      </c>
      <c r="R16" s="31">
        <f>0.0503*1.552+0.4763</f>
        <v>0.55436560000000001</v>
      </c>
      <c r="S16" s="31">
        <f>0.0503*1.552+0.5191</f>
        <v>0.59716559999999996</v>
      </c>
      <c r="T16" s="31">
        <f>0.0503*1.552+0.5977</f>
        <v>0.67576559999999997</v>
      </c>
      <c r="U16" s="34">
        <f>0.0503*1.552+0.6805</f>
        <v>0.75856559999999995</v>
      </c>
      <c r="V16" s="34">
        <f>0.0503*1.552+0.7646</f>
        <v>0.8426655999999999</v>
      </c>
    </row>
    <row r="17" spans="1:22" ht="15" customHeight="1" x14ac:dyDescent="0.25">
      <c r="A17" s="30" t="s">
        <v>45</v>
      </c>
      <c r="B17" s="31">
        <v>1.38</v>
      </c>
      <c r="C17" s="31">
        <v>1.776</v>
      </c>
      <c r="D17" s="31">
        <v>2.0099999999999998</v>
      </c>
      <c r="E17" s="31">
        <v>2.044</v>
      </c>
      <c r="F17" s="31">
        <v>1.9930000000000001</v>
      </c>
      <c r="G17" s="31">
        <v>1.8580000000000001</v>
      </c>
      <c r="H17" s="31">
        <v>1.464</v>
      </c>
      <c r="I17" s="31">
        <v>1.2989999999999999</v>
      </c>
      <c r="J17" s="31">
        <v>1.1619999999999999</v>
      </c>
      <c r="K17" s="32">
        <v>1.04</v>
      </c>
      <c r="L17" s="33" t="s">
        <v>45</v>
      </c>
      <c r="M17" s="31">
        <f>0.0443*1.552+0</f>
        <v>6.8753599999999998E-2</v>
      </c>
      <c r="N17" s="31">
        <f>0.0443*1.552+0.0024</f>
        <v>7.1153599999999997E-2</v>
      </c>
      <c r="O17" s="31">
        <f>0.0443*1.552+0.0244</f>
        <v>9.3153600000000003E-2</v>
      </c>
      <c r="P17" s="31">
        <f>0.0443*1.552+0.0721</f>
        <v>0.1408536</v>
      </c>
      <c r="Q17" s="31">
        <f>0.0443*1.552+0.1428</f>
        <v>0.21155360000000001</v>
      </c>
      <c r="R17" s="31">
        <f>0.0443*1.552+0.5</f>
        <v>0.56875359999999997</v>
      </c>
      <c r="S17" s="31">
        <f>0.0443*1.552+0.5437</f>
        <v>0.61245359999999993</v>
      </c>
      <c r="T17" s="31">
        <f>0.0443*1.552+0.6213</f>
        <v>0.69005359999999993</v>
      </c>
      <c r="U17" s="34">
        <f>0.0443*1.552+0.7029</f>
        <v>0.77165359999999994</v>
      </c>
      <c r="V17" s="34">
        <f>0.0443*1.552+0.7857</f>
        <v>0.85445359999999992</v>
      </c>
    </row>
    <row r="18" spans="1:22" ht="15" customHeight="1" x14ac:dyDescent="0.25">
      <c r="A18" s="30" t="s">
        <v>46</v>
      </c>
      <c r="B18" s="31">
        <v>1.4530000000000001</v>
      </c>
      <c r="C18" s="31">
        <v>1.843</v>
      </c>
      <c r="D18" s="31">
        <v>2.0649999999999999</v>
      </c>
      <c r="E18" s="31">
        <v>2.09</v>
      </c>
      <c r="F18" s="31">
        <v>2.016</v>
      </c>
      <c r="G18" s="31">
        <v>1.869</v>
      </c>
      <c r="H18" s="31">
        <v>1.4730000000000001</v>
      </c>
      <c r="I18" s="31">
        <v>1.3049999999999999</v>
      </c>
      <c r="J18" s="31">
        <v>1.167</v>
      </c>
      <c r="K18" s="32">
        <v>1.044</v>
      </c>
      <c r="L18" s="33" t="s">
        <v>46</v>
      </c>
      <c r="M18" s="31">
        <f>0.0384*1.552+0</f>
        <v>5.9596799999999998E-2</v>
      </c>
      <c r="N18" s="31">
        <f>0.0384*1.552+0.0036</f>
        <v>6.3196799999999997E-2</v>
      </c>
      <c r="O18" s="31">
        <f>0.0384*1.552+0.0241</f>
        <v>8.3696800000000002E-2</v>
      </c>
      <c r="P18" s="31">
        <f>0.0384*1.552+0.0757</f>
        <v>0.13529679999999999</v>
      </c>
      <c r="Q18" s="31">
        <f>0.0384*1.552+0.146</f>
        <v>0.2055968</v>
      </c>
      <c r="R18" s="31">
        <f>0.0384*1.552+0.5238</f>
        <v>0.58339680000000005</v>
      </c>
      <c r="S18" s="31">
        <f>0.0384*1.552+0.5682</f>
        <v>0.62779680000000004</v>
      </c>
      <c r="T18" s="31">
        <f>0.0384*1.552+0.6448</f>
        <v>0.70439680000000005</v>
      </c>
      <c r="U18" s="34">
        <f>0.0384*1.552+0.7253</f>
        <v>0.78489679999999995</v>
      </c>
      <c r="V18" s="34">
        <f>0.0384*1.552+0.8069</f>
        <v>0.86649679999999996</v>
      </c>
    </row>
    <row r="19" spans="1:22" ht="15" customHeight="1" x14ac:dyDescent="0.25">
      <c r="A19" s="30" t="s">
        <v>47</v>
      </c>
      <c r="B19" s="31">
        <v>1.526</v>
      </c>
      <c r="C19" s="31">
        <v>1.91</v>
      </c>
      <c r="D19" s="31">
        <v>2.121</v>
      </c>
      <c r="E19" s="31">
        <v>2.137</v>
      </c>
      <c r="F19" s="31">
        <v>2.0379999999999998</v>
      </c>
      <c r="G19" s="31">
        <v>1.881</v>
      </c>
      <c r="H19" s="31">
        <v>1.4810000000000001</v>
      </c>
      <c r="I19" s="31">
        <v>1.3120000000000001</v>
      </c>
      <c r="J19" s="31">
        <v>1.1719999999999999</v>
      </c>
      <c r="K19" s="32">
        <v>1.048</v>
      </c>
      <c r="L19" s="33" t="s">
        <v>47</v>
      </c>
      <c r="M19" s="31">
        <f>0.0324*1.552+0</f>
        <v>5.0284799999999998E-2</v>
      </c>
      <c r="N19" s="31">
        <f>0.0324*1.552+0.0047</f>
        <v>5.49848E-2</v>
      </c>
      <c r="O19" s="31">
        <f>0.0324*1.552+0.0237</f>
        <v>7.3984799999999989E-2</v>
      </c>
      <c r="P19" s="31">
        <f>0.0324*1.552+0.0794</f>
        <v>0.12968479999999999</v>
      </c>
      <c r="Q19" s="31">
        <f>0.0324*1.552+0.1491</f>
        <v>0.1993848</v>
      </c>
      <c r="R19" s="31">
        <f>0.0324*1.552+0.5475</f>
        <v>0.59778480000000001</v>
      </c>
      <c r="S19" s="31">
        <f>0.0324*1.552+0.5928</f>
        <v>0.64308480000000001</v>
      </c>
      <c r="T19" s="31">
        <f>0.0324*1.552+0.6684</f>
        <v>0.71868480000000001</v>
      </c>
      <c r="U19" s="34">
        <f>0.0324*1.552+0.7477</f>
        <v>0.79798480000000005</v>
      </c>
      <c r="V19" s="34">
        <f>0.0324*1.552+0.828</f>
        <v>0.87828479999999998</v>
      </c>
    </row>
    <row r="22" spans="1:22" ht="15" customHeight="1" x14ac:dyDescent="0.25">
      <c r="A22" s="35"/>
    </row>
    <row r="23" spans="1:22" ht="15" customHeight="1" x14ac:dyDescent="0.25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</row>
    <row r="24" spans="1:22" ht="15" customHeight="1" x14ac:dyDescent="0.25">
      <c r="A24" s="37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</row>
    <row r="25" spans="1:22" ht="15" customHeight="1" x14ac:dyDescent="0.25">
      <c r="A25" s="37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</row>
    <row r="26" spans="1:22" ht="15" customHeight="1" x14ac:dyDescent="0.25">
      <c r="A26" s="37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</row>
    <row r="27" spans="1:22" ht="15" customHeight="1" x14ac:dyDescent="0.25">
      <c r="A27" s="37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</row>
    <row r="28" spans="1:22" ht="15" customHeight="1" x14ac:dyDescent="0.25">
      <c r="A28" s="37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</row>
    <row r="29" spans="1:22" ht="15" customHeight="1" x14ac:dyDescent="0.25">
      <c r="A29" s="37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</row>
    <row r="30" spans="1:22" ht="15" customHeight="1" x14ac:dyDescent="0.25">
      <c r="A30" s="37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</row>
    <row r="31" spans="1:22" ht="15" customHeight="1" x14ac:dyDescent="0.25">
      <c r="A31" s="37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</row>
    <row r="32" spans="1:22" ht="15" customHeight="1" x14ac:dyDescent="0.25">
      <c r="A32" s="37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</row>
    <row r="33" spans="1:16" ht="15" customHeight="1" x14ac:dyDescent="0.25">
      <c r="A33" s="37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</row>
    <row r="34" spans="1:16" ht="15" customHeight="1" x14ac:dyDescent="0.25">
      <c r="A34" s="37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</row>
    <row r="35" spans="1:16" ht="15" customHeight="1" x14ac:dyDescent="0.25">
      <c r="A35" s="37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</row>
    <row r="36" spans="1:16" ht="15" customHeight="1" x14ac:dyDescent="0.25">
      <c r="A36" s="37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</row>
    <row r="37" spans="1:16" ht="15" customHeight="1" x14ac:dyDescent="0.25">
      <c r="A37" s="37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</row>
    <row r="38" spans="1:16" ht="15" customHeight="1" x14ac:dyDescent="0.25">
      <c r="A38" s="37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</row>
    <row r="39" spans="1:16" ht="15" customHeight="1" x14ac:dyDescent="0.25">
      <c r="A39" s="37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</row>
    <row r="40" spans="1:16" ht="15" customHeight="1" x14ac:dyDescent="0.25">
      <c r="A40" s="37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</row>
    <row r="41" spans="1:16" ht="15" customHeight="1" x14ac:dyDescent="0.25">
      <c r="A41" s="37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</row>
    <row r="42" spans="1:16" ht="15" customHeight="1" x14ac:dyDescent="0.25">
      <c r="A42" s="37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</row>
    <row r="43" spans="1:16" ht="15" customHeight="1" x14ac:dyDescent="0.25">
      <c r="A43" s="37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</row>
    <row r="44" spans="1:16" ht="15" customHeight="1" x14ac:dyDescent="0.25">
      <c r="A44" s="37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</row>
    <row r="45" spans="1:16" ht="15" customHeight="1" x14ac:dyDescent="0.25">
      <c r="A45" s="37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</row>
    <row r="46" spans="1:16" ht="15" customHeight="1" x14ac:dyDescent="0.25">
      <c r="A46" s="37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</row>
    <row r="47" spans="1:16" ht="15" customHeight="1" x14ac:dyDescent="0.25">
      <c r="A47" s="37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</row>
    <row r="48" spans="1:16" ht="15" customHeight="1" x14ac:dyDescent="0.25">
      <c r="A48" s="37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</row>
    <row r="49" spans="1:16" ht="15" customHeight="1" x14ac:dyDescent="0.25">
      <c r="A49" s="37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</row>
    <row r="50" spans="1:16" ht="15" customHeight="1" x14ac:dyDescent="0.25">
      <c r="A50" s="37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</row>
    <row r="51" spans="1:16" ht="15" customHeight="1" x14ac:dyDescent="0.25">
      <c r="A51" s="37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</row>
    <row r="52" spans="1:16" ht="15" customHeight="1" x14ac:dyDescent="0.25">
      <c r="A52" s="37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</row>
    <row r="53" spans="1:16" ht="15" customHeight="1" x14ac:dyDescent="0.25">
      <c r="A53" s="37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</row>
    <row r="54" spans="1:16" ht="15" customHeight="1" x14ac:dyDescent="0.25">
      <c r="A54" s="37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</row>
    <row r="55" spans="1:16" ht="15" customHeight="1" x14ac:dyDescent="0.25">
      <c r="A55" s="37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</row>
    <row r="56" spans="1:16" ht="15" customHeight="1" x14ac:dyDescent="0.25">
      <c r="A56" s="37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</row>
    <row r="57" spans="1:16" ht="15" customHeight="1" x14ac:dyDescent="0.25">
      <c r="A57" s="37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</row>
    <row r="58" spans="1:16" ht="15" customHeight="1" x14ac:dyDescent="0.25">
      <c r="A58" s="37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</row>
    <row r="59" spans="1:16" ht="15" customHeight="1" x14ac:dyDescent="0.25">
      <c r="A59" s="37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</row>
    <row r="60" spans="1:16" ht="15" customHeight="1" x14ac:dyDescent="0.25">
      <c r="A60" s="37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</row>
    <row r="61" spans="1:16" ht="15" customHeight="1" x14ac:dyDescent="0.25">
      <c r="A61" s="37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</row>
    <row r="62" spans="1:16" ht="15" customHeight="1" x14ac:dyDescent="0.25">
      <c r="A62" s="37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</row>
    <row r="63" spans="1:16" ht="15" customHeight="1" x14ac:dyDescent="0.25">
      <c r="A63" s="37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</row>
    <row r="64" spans="1:16" ht="15" customHeight="1" x14ac:dyDescent="0.25">
      <c r="A64" s="37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</row>
    <row r="65" spans="1:16" ht="15" customHeight="1" x14ac:dyDescent="0.25">
      <c r="A65" s="37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</row>
    <row r="66" spans="1:16" ht="15" customHeight="1" x14ac:dyDescent="0.25">
      <c r="A66" s="37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</row>
    <row r="67" spans="1:16" ht="15" customHeight="1" x14ac:dyDescent="0.25">
      <c r="A67" s="37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</row>
    <row r="68" spans="1:16" ht="15" customHeight="1" x14ac:dyDescent="0.25">
      <c r="A68" s="37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</row>
    <row r="69" spans="1:16" ht="15" customHeight="1" x14ac:dyDescent="0.25">
      <c r="A69" s="37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</row>
  </sheetData>
  <conditionalFormatting sqref="B4:K19">
    <cfRule type="colorScale" priority="2">
      <colorScale>
        <cfvo type="min"/>
        <cfvo type="percentile" val="50"/>
        <cfvo type="max"/>
        <color rgb="FFEBF5FB"/>
        <color rgb="FF2980B9"/>
        <color rgb="FF1A5276"/>
      </colorScale>
    </cfRule>
  </conditionalFormatting>
  <conditionalFormatting sqref="M4:V19">
    <cfRule type="colorScale" priority="3">
      <colorScale>
        <cfvo type="min"/>
        <cfvo type="percentile" val="50"/>
        <cfvo type="max"/>
        <color rgb="FFE9F7EF"/>
        <color rgb="FFF39C12"/>
        <color rgb="FF922B21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69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7109375" defaultRowHeight="15" x14ac:dyDescent="0.25"/>
  <cols>
    <col min="1" max="1" width="8" style="1" customWidth="1"/>
    <col min="2" max="17" width="7" style="1" customWidth="1"/>
    <col min="18" max="22" width="8" style="1" customWidth="1"/>
  </cols>
  <sheetData>
    <row r="1" spans="1:22" ht="19.5" customHeight="1" x14ac:dyDescent="0.25">
      <c r="A1" s="25" t="s">
        <v>48</v>
      </c>
    </row>
    <row r="2" spans="1:22" ht="15" customHeight="1" x14ac:dyDescent="0.25">
      <c r="B2" s="26" t="s">
        <v>19</v>
      </c>
      <c r="L2" s="27"/>
      <c r="M2" s="11" t="s">
        <v>20</v>
      </c>
    </row>
    <row r="3" spans="1:22" ht="15" customHeight="1" x14ac:dyDescent="0.25">
      <c r="A3" s="28" t="s">
        <v>21</v>
      </c>
      <c r="B3" s="28" t="s">
        <v>22</v>
      </c>
      <c r="C3" s="28" t="s">
        <v>23</v>
      </c>
      <c r="D3" s="28" t="s">
        <v>24</v>
      </c>
      <c r="E3" s="28" t="s">
        <v>25</v>
      </c>
      <c r="F3" s="28" t="s">
        <v>26</v>
      </c>
      <c r="G3" s="28" t="s">
        <v>27</v>
      </c>
      <c r="H3" s="28" t="s">
        <v>28</v>
      </c>
      <c r="I3" s="28" t="s">
        <v>29</v>
      </c>
      <c r="J3" s="28" t="s">
        <v>30</v>
      </c>
      <c r="K3" s="29" t="s">
        <v>31</v>
      </c>
      <c r="L3" s="28" t="s">
        <v>21</v>
      </c>
      <c r="M3" s="28" t="s">
        <v>22</v>
      </c>
      <c r="N3" s="28" t="s">
        <v>23</v>
      </c>
      <c r="O3" s="28" t="s">
        <v>24</v>
      </c>
      <c r="P3" s="28" t="s">
        <v>25</v>
      </c>
      <c r="Q3" s="28" t="s">
        <v>26</v>
      </c>
      <c r="R3" s="28" t="s">
        <v>27</v>
      </c>
      <c r="S3" s="28" t="s">
        <v>28</v>
      </c>
      <c r="T3" s="28" t="s">
        <v>29</v>
      </c>
      <c r="U3" s="29" t="s">
        <v>30</v>
      </c>
      <c r="V3" s="29" t="s">
        <v>31</v>
      </c>
    </row>
    <row r="4" spans="1:22" ht="15" customHeight="1" x14ac:dyDescent="0.25">
      <c r="A4" s="30" t="s">
        <v>32</v>
      </c>
      <c r="B4" s="31">
        <v>0</v>
      </c>
      <c r="C4" s="31">
        <v>0.52700000000000002</v>
      </c>
      <c r="D4" s="31">
        <v>1.022</v>
      </c>
      <c r="E4" s="31">
        <v>1.407</v>
      </c>
      <c r="F4" s="31">
        <v>1.6180000000000001</v>
      </c>
      <c r="G4" s="31">
        <v>1.4370000000000001</v>
      </c>
      <c r="H4" s="31">
        <v>1.2310000000000001</v>
      </c>
      <c r="I4" s="31">
        <v>1.117</v>
      </c>
      <c r="J4" s="31">
        <v>1.02</v>
      </c>
      <c r="K4" s="32">
        <v>0.93100000000000005</v>
      </c>
      <c r="L4" s="33" t="s">
        <v>32</v>
      </c>
      <c r="M4" s="31">
        <f>0.01*1.351+0</f>
        <v>1.3509999999999999E-2</v>
      </c>
      <c r="N4" s="31">
        <f>0.01*1.351+0.0257</f>
        <v>3.9210000000000002E-2</v>
      </c>
      <c r="O4" s="31">
        <f>0.01*1.351+0.0966</f>
        <v>0.11011</v>
      </c>
      <c r="P4" s="31">
        <f>0.01*1.351+0.183</f>
        <v>0.19650999999999999</v>
      </c>
      <c r="Q4" s="31">
        <f>0.01*1.351+0.2421</f>
        <v>0.25561</v>
      </c>
      <c r="R4" s="31">
        <f>0.01*1.351+0.1909</f>
        <v>0.20440999999999998</v>
      </c>
      <c r="S4" s="31">
        <f>0.01*1.351+0.418</f>
        <v>0.43151</v>
      </c>
      <c r="T4" s="31">
        <f>0.01*1.351+0.5043</f>
        <v>0.51780999999999999</v>
      </c>
      <c r="U4" s="34">
        <f>0.01*1.351+0.5957</f>
        <v>0.60921000000000003</v>
      </c>
      <c r="V4" s="34">
        <f>0.01*1.351+0.6894</f>
        <v>0.70291000000000003</v>
      </c>
    </row>
    <row r="5" spans="1:22" ht="15" customHeight="1" x14ac:dyDescent="0.25">
      <c r="A5" s="30" t="s">
        <v>33</v>
      </c>
      <c r="B5" s="31">
        <v>0.126</v>
      </c>
      <c r="C5" s="31">
        <v>0.64700000000000002</v>
      </c>
      <c r="D5" s="31">
        <v>1.109</v>
      </c>
      <c r="E5" s="31">
        <v>1.47</v>
      </c>
      <c r="F5" s="31">
        <v>1.661</v>
      </c>
      <c r="G5" s="31">
        <v>1.49</v>
      </c>
      <c r="H5" s="31">
        <v>1.256</v>
      </c>
      <c r="I5" s="31">
        <v>1.1359999999999999</v>
      </c>
      <c r="J5" s="31">
        <v>1.0349999999999999</v>
      </c>
      <c r="K5" s="32">
        <v>0.94299999999999995</v>
      </c>
      <c r="L5" s="33" t="s">
        <v>33</v>
      </c>
      <c r="M5" s="31">
        <f>0.0121*1.351+0</f>
        <v>1.63471E-2</v>
      </c>
      <c r="N5" s="31">
        <f>0.0121*1.351+0.0242</f>
        <v>4.0547100000000003E-2</v>
      </c>
      <c r="O5" s="31">
        <f>0.0121*1.351+0.0892</f>
        <v>0.1055471</v>
      </c>
      <c r="P5" s="31">
        <f>0.0121*1.351+0.1688</f>
        <v>0.18514710000000001</v>
      </c>
      <c r="Q5" s="31">
        <f>0.0121*1.351+0.2238</f>
        <v>0.2401471</v>
      </c>
      <c r="R5" s="31">
        <f>0.0121*1.351+0.1865</f>
        <v>0.2028471</v>
      </c>
      <c r="S5" s="31">
        <f>0.0121*1.351+0.4328</f>
        <v>0.44914710000000002</v>
      </c>
      <c r="T5" s="31">
        <f>0.0121*1.351+0.5182</f>
        <v>0.53454709999999994</v>
      </c>
      <c r="U5" s="34">
        <f>0.0121*1.351+0.6086</f>
        <v>0.62494709999999998</v>
      </c>
      <c r="V5" s="34">
        <f>0.0121*1.351+0.7011</f>
        <v>0.71744709999999989</v>
      </c>
    </row>
    <row r="6" spans="1:22" ht="15" customHeight="1" x14ac:dyDescent="0.25">
      <c r="A6" s="30" t="s">
        <v>34</v>
      </c>
      <c r="B6" s="31">
        <v>0.252</v>
      </c>
      <c r="C6" s="31">
        <v>0.76600000000000001</v>
      </c>
      <c r="D6" s="31">
        <v>1.196</v>
      </c>
      <c r="E6" s="31">
        <v>1.534</v>
      </c>
      <c r="F6" s="31">
        <v>1.704</v>
      </c>
      <c r="G6" s="31">
        <v>1.5429999999999999</v>
      </c>
      <c r="H6" s="31">
        <v>1.2809999999999999</v>
      </c>
      <c r="I6" s="31">
        <v>1.155</v>
      </c>
      <c r="J6" s="31">
        <v>1.05</v>
      </c>
      <c r="K6" s="32">
        <v>0.95399999999999996</v>
      </c>
      <c r="L6" s="33" t="s">
        <v>34</v>
      </c>
      <c r="M6" s="31">
        <f>0.0142*1.351+0</f>
        <v>1.9184200000000002E-2</v>
      </c>
      <c r="N6" s="31">
        <f>0.0142*1.351+0.0226</f>
        <v>4.1784200000000001E-2</v>
      </c>
      <c r="O6" s="31">
        <f>0.0142*1.351+0.0818</f>
        <v>0.1009842</v>
      </c>
      <c r="P6" s="31">
        <f>0.0142*1.351+0.1545</f>
        <v>0.17368420000000001</v>
      </c>
      <c r="Q6" s="31">
        <f>0.0142*1.351+0.2054</f>
        <v>0.22458420000000001</v>
      </c>
      <c r="R6" s="31">
        <f>0.0142*1.351+0.1821</f>
        <v>0.20128420000000002</v>
      </c>
      <c r="S6" s="31">
        <f>0.0142*1.351+0.4477</f>
        <v>0.46688419999999997</v>
      </c>
      <c r="T6" s="31">
        <f>0.0142*1.351+0.5321</f>
        <v>0.5512842</v>
      </c>
      <c r="U6" s="34">
        <f>0.0142*1.351+0.6215</f>
        <v>0.64068420000000004</v>
      </c>
      <c r="V6" s="34">
        <f>0.0142*1.351+0.7129</f>
        <v>0.73208419999999996</v>
      </c>
    </row>
    <row r="7" spans="1:22" ht="15" customHeight="1" x14ac:dyDescent="0.25">
      <c r="A7" s="30" t="s">
        <v>35</v>
      </c>
      <c r="B7" s="31">
        <v>0.376</v>
      </c>
      <c r="C7" s="31">
        <v>0.873</v>
      </c>
      <c r="D7" s="31">
        <v>1.278</v>
      </c>
      <c r="E7" s="31">
        <v>1.591</v>
      </c>
      <c r="F7" s="31">
        <v>1.738</v>
      </c>
      <c r="G7" s="31">
        <v>1.585</v>
      </c>
      <c r="H7" s="31">
        <v>1.3009999999999999</v>
      </c>
      <c r="I7" s="31">
        <v>1.171</v>
      </c>
      <c r="J7" s="31">
        <v>1.0620000000000001</v>
      </c>
      <c r="K7" s="32">
        <v>0.96399999999999997</v>
      </c>
      <c r="L7" s="33" t="s">
        <v>35</v>
      </c>
      <c r="M7" s="31">
        <f>0.0163*1.351+0</f>
        <v>2.2021299999999997E-2</v>
      </c>
      <c r="N7" s="31">
        <f>0.0163*1.351+0.0201</f>
        <v>4.21213E-2</v>
      </c>
      <c r="O7" s="31">
        <f>0.0163*1.351+0.0745</f>
        <v>9.652129999999999E-2</v>
      </c>
      <c r="P7" s="31">
        <f>0.0163*1.351+0.1407</f>
        <v>0.16272129999999999</v>
      </c>
      <c r="Q7" s="31">
        <f>0.0163*1.351+0.1882</f>
        <v>0.2102213</v>
      </c>
      <c r="R7" s="31">
        <f>0.0163*1.351+0.1778</f>
        <v>0.19982130000000001</v>
      </c>
      <c r="S7" s="31">
        <f>0.0163*1.351+0.4618</f>
        <v>0.48382130000000001</v>
      </c>
      <c r="T7" s="31">
        <f>0.0163*1.351+0.5453</f>
        <v>0.56732130000000003</v>
      </c>
      <c r="U7" s="34">
        <f>0.0163*1.351+0.6338</f>
        <v>0.65582130000000005</v>
      </c>
      <c r="V7" s="34">
        <f>0.0163*1.351+0.724</f>
        <v>0.7460213</v>
      </c>
    </row>
    <row r="8" spans="1:22" ht="15" customHeight="1" x14ac:dyDescent="0.25">
      <c r="A8" s="30" t="s">
        <v>36</v>
      </c>
      <c r="B8" s="31">
        <v>0.499</v>
      </c>
      <c r="C8" s="31">
        <v>0.97899999999999998</v>
      </c>
      <c r="D8" s="31">
        <v>1.36</v>
      </c>
      <c r="E8" s="31">
        <v>1.647</v>
      </c>
      <c r="F8" s="31">
        <v>1.7729999999999999</v>
      </c>
      <c r="G8" s="31">
        <v>1.627</v>
      </c>
      <c r="H8" s="31">
        <v>1.321</v>
      </c>
      <c r="I8" s="31">
        <v>1.1870000000000001</v>
      </c>
      <c r="J8" s="31">
        <v>1.075</v>
      </c>
      <c r="K8" s="32">
        <v>0.97299999999999998</v>
      </c>
      <c r="L8" s="33" t="s">
        <v>36</v>
      </c>
      <c r="M8" s="31">
        <f>0.0185*1.351+0</f>
        <v>2.4993499999999998E-2</v>
      </c>
      <c r="N8" s="31">
        <f>0.0185*1.351+0.0175</f>
        <v>4.2493500000000003E-2</v>
      </c>
      <c r="O8" s="31">
        <f>0.0185*1.351+0.0672</f>
        <v>9.2193499999999998E-2</v>
      </c>
      <c r="P8" s="31">
        <f>0.0185*1.351+0.1269</f>
        <v>0.15189350000000001</v>
      </c>
      <c r="Q8" s="31">
        <f>0.0185*1.351+0.171</f>
        <v>0.19599350000000001</v>
      </c>
      <c r="R8" s="31">
        <f>0.0185*1.351+0.1735</f>
        <v>0.19849349999999999</v>
      </c>
      <c r="S8" s="31">
        <f>0.0185*1.351+0.4759</f>
        <v>0.50089349999999999</v>
      </c>
      <c r="T8" s="31">
        <f>0.0185*1.351+0.5585</f>
        <v>0.5834935</v>
      </c>
      <c r="U8" s="34">
        <f>0.0185*1.351+0.646</f>
        <v>0.67099350000000002</v>
      </c>
      <c r="V8" s="34">
        <f>0.0185*1.351+0.7351</f>
        <v>0.76009349999999998</v>
      </c>
    </row>
    <row r="9" spans="1:22" ht="15" customHeight="1" x14ac:dyDescent="0.25">
      <c r="A9" s="30" t="s">
        <v>37</v>
      </c>
      <c r="B9" s="31">
        <v>0.61399999999999999</v>
      </c>
      <c r="C9" s="31">
        <v>1.077</v>
      </c>
      <c r="D9" s="31">
        <v>1.44</v>
      </c>
      <c r="E9" s="31">
        <v>1.6919999999999999</v>
      </c>
      <c r="F9" s="31">
        <v>1.8009999999999999</v>
      </c>
      <c r="G9" s="31">
        <v>1.66</v>
      </c>
      <c r="H9" s="31">
        <v>1.3380000000000001</v>
      </c>
      <c r="I9" s="31">
        <v>1.2</v>
      </c>
      <c r="J9" s="31">
        <v>1.0860000000000001</v>
      </c>
      <c r="K9" s="32">
        <v>0.98099999999999998</v>
      </c>
      <c r="L9" s="33" t="s">
        <v>37</v>
      </c>
      <c r="M9" s="31">
        <f>0.0206*1.351+0</f>
        <v>2.78306E-2</v>
      </c>
      <c r="N9" s="31">
        <f>0.0206*1.351+0.0151</f>
        <v>4.2930599999999999E-2</v>
      </c>
      <c r="O9" s="31">
        <f>0.0206*1.351+0.0614</f>
        <v>8.9230600000000007E-2</v>
      </c>
      <c r="P9" s="31">
        <f>0.0206*1.351+0.1143</f>
        <v>0.1421306</v>
      </c>
      <c r="Q9" s="31">
        <f>0.0206*1.351+0.1573</f>
        <v>0.18513060000000001</v>
      </c>
      <c r="R9" s="31">
        <f>0.0206*1.351+0.1717</f>
        <v>0.1995306</v>
      </c>
      <c r="S9" s="31">
        <f>0.0206*1.351+0.4948</f>
        <v>0.52263060000000006</v>
      </c>
      <c r="T9" s="31">
        <f>0.0206*1.351+0.5763</f>
        <v>0.60413060000000007</v>
      </c>
      <c r="U9" s="34">
        <f>0.0206*1.351+0.6624</f>
        <v>0.69023060000000003</v>
      </c>
      <c r="V9" s="34">
        <f>0.0206*1.351+0.7502</f>
        <v>0.77803060000000002</v>
      </c>
    </row>
    <row r="10" spans="1:22" ht="15" customHeight="1" x14ac:dyDescent="0.25">
      <c r="A10" s="30" t="s">
        <v>38</v>
      </c>
      <c r="B10" s="31">
        <v>0.72899999999999998</v>
      </c>
      <c r="C10" s="31">
        <v>1.175</v>
      </c>
      <c r="D10" s="31">
        <v>1.5189999999999999</v>
      </c>
      <c r="E10" s="31">
        <v>1.738</v>
      </c>
      <c r="F10" s="31">
        <v>1.83</v>
      </c>
      <c r="G10" s="31">
        <v>1.694</v>
      </c>
      <c r="H10" s="31">
        <v>1.355</v>
      </c>
      <c r="I10" s="31">
        <v>1.2130000000000001</v>
      </c>
      <c r="J10" s="31">
        <v>1.0960000000000001</v>
      </c>
      <c r="K10" s="32">
        <v>0.98899999999999999</v>
      </c>
      <c r="L10" s="33" t="s">
        <v>38</v>
      </c>
      <c r="M10" s="31">
        <f>0.0227*1.351+0</f>
        <v>3.0667700000000003E-2</v>
      </c>
      <c r="N10" s="31">
        <f>0.0227*1.351+0.0127</f>
        <v>4.3367700000000002E-2</v>
      </c>
      <c r="O10" s="31">
        <f>0.0227*1.351+0.0557</f>
        <v>8.6367700000000006E-2</v>
      </c>
      <c r="P10" s="31">
        <f>0.0227*1.351+0.1017</f>
        <v>0.1323677</v>
      </c>
      <c r="Q10" s="31">
        <f>0.0227*1.351+0.1435</f>
        <v>0.17416769999999998</v>
      </c>
      <c r="R10" s="31">
        <f>0.0227*1.351+0.1699</f>
        <v>0.20056769999999999</v>
      </c>
      <c r="S10" s="31">
        <f>0.0227*1.351+0.5137</f>
        <v>0.54436770000000001</v>
      </c>
      <c r="T10" s="31">
        <f>0.0227*1.351+0.5941</f>
        <v>0.62476769999999993</v>
      </c>
      <c r="U10" s="34">
        <f>0.0227*1.351+0.6789</f>
        <v>0.70956769999999991</v>
      </c>
      <c r="V10" s="34">
        <f>0.0227*1.351+0.7653</f>
        <v>0.79596769999999994</v>
      </c>
    </row>
    <row r="11" spans="1:22" ht="15" customHeight="1" x14ac:dyDescent="0.25">
      <c r="A11" s="30" t="s">
        <v>39</v>
      </c>
      <c r="B11" s="31">
        <v>0.83299999999999996</v>
      </c>
      <c r="C11" s="31">
        <v>1.2729999999999999</v>
      </c>
      <c r="D11" s="31">
        <v>1.5960000000000001</v>
      </c>
      <c r="E11" s="31">
        <v>1.776</v>
      </c>
      <c r="F11" s="31">
        <v>1.8560000000000001</v>
      </c>
      <c r="G11" s="31">
        <v>1.722</v>
      </c>
      <c r="H11" s="31">
        <v>1.37</v>
      </c>
      <c r="I11" s="31">
        <v>1.2250000000000001</v>
      </c>
      <c r="J11" s="31">
        <v>1.105</v>
      </c>
      <c r="K11" s="32">
        <v>0.996</v>
      </c>
      <c r="L11" s="33" t="s">
        <v>39</v>
      </c>
      <c r="M11" s="31">
        <f>0.0484*1.351+0</f>
        <v>6.5388399999999999E-2</v>
      </c>
      <c r="N11" s="31">
        <f>0.0484*1.351+0.0053</f>
        <v>7.0688399999999998E-2</v>
      </c>
      <c r="O11" s="31">
        <f>0.0484*1.351+0.0429</f>
        <v>0.10828840000000001</v>
      </c>
      <c r="P11" s="31">
        <f>0.0484*1.351+0.085</f>
        <v>0.15038840000000001</v>
      </c>
      <c r="Q11" s="31">
        <f>0.0484*1.351+0.1452</f>
        <v>0.21058840000000001</v>
      </c>
      <c r="R11" s="31">
        <f>0.0484*1.351+0.1965</f>
        <v>0.26188840000000002</v>
      </c>
      <c r="S11" s="31">
        <f>0.0484*1.351+0.5044</f>
        <v>0.56978839999999997</v>
      </c>
      <c r="T11" s="31">
        <f>0.0484*1.351+0.5839</f>
        <v>0.64928839999999999</v>
      </c>
      <c r="U11" s="34">
        <f>0.0484*1.351+0.6677</f>
        <v>0.73308839999999997</v>
      </c>
      <c r="V11" s="34">
        <f>0.0484*1.351+0.753</f>
        <v>0.81838840000000002</v>
      </c>
    </row>
    <row r="12" spans="1:22" ht="15" customHeight="1" x14ac:dyDescent="0.25">
      <c r="A12" s="30" t="s">
        <v>40</v>
      </c>
      <c r="B12" s="31">
        <v>0.93600000000000005</v>
      </c>
      <c r="C12" s="31">
        <v>1.371</v>
      </c>
      <c r="D12" s="31">
        <v>1.6739999999999999</v>
      </c>
      <c r="E12" s="31">
        <v>1.8140000000000001</v>
      </c>
      <c r="F12" s="31">
        <v>1.881</v>
      </c>
      <c r="G12" s="31">
        <v>1.7490000000000001</v>
      </c>
      <c r="H12" s="31">
        <v>1.385</v>
      </c>
      <c r="I12" s="31">
        <v>1.2370000000000001</v>
      </c>
      <c r="J12" s="31">
        <v>1.1140000000000001</v>
      </c>
      <c r="K12" s="32">
        <v>1.0029999999999999</v>
      </c>
      <c r="L12" s="33" t="s">
        <v>40</v>
      </c>
      <c r="M12" s="31">
        <f>0.0719*1.351+0.0022</f>
        <v>9.9336900000000006E-2</v>
      </c>
      <c r="N12" s="31">
        <f>0.0719*1.351+0</f>
        <v>9.7136900000000012E-2</v>
      </c>
      <c r="O12" s="31">
        <f>0.0719*1.351+0.0323</f>
        <v>0.12943690000000002</v>
      </c>
      <c r="P12" s="31">
        <f>0.0719*1.351+0.0706</f>
        <v>0.16773690000000002</v>
      </c>
      <c r="Q12" s="31">
        <f>0.0719*1.351+0.1492</f>
        <v>0.24633690000000003</v>
      </c>
      <c r="R12" s="31">
        <f>0.0719*1.351+0.2253</f>
        <v>0.32243690000000003</v>
      </c>
      <c r="S12" s="31">
        <f>0.0719*1.351+0.4973</f>
        <v>0.59443690000000005</v>
      </c>
      <c r="T12" s="31">
        <f>0.0719*1.351+0.5759</f>
        <v>0.67303689999999994</v>
      </c>
      <c r="U12" s="34">
        <f>0.0719*1.351+0.6587</f>
        <v>0.75583689999999992</v>
      </c>
      <c r="V12" s="34">
        <f>0.0719*1.351+0.7428</f>
        <v>0.83993689999999999</v>
      </c>
    </row>
    <row r="13" spans="1:22" ht="15" customHeight="1" x14ac:dyDescent="0.25">
      <c r="A13" s="30" t="s">
        <v>41</v>
      </c>
      <c r="B13" s="31">
        <v>1.032</v>
      </c>
      <c r="C13" s="31">
        <v>1.462</v>
      </c>
      <c r="D13" s="31">
        <v>1.748</v>
      </c>
      <c r="E13" s="31">
        <v>1.8540000000000001</v>
      </c>
      <c r="F13" s="31">
        <v>1.9039999999999999</v>
      </c>
      <c r="G13" s="31">
        <v>1.772</v>
      </c>
      <c r="H13" s="31">
        <v>1.3979999999999999</v>
      </c>
      <c r="I13" s="31">
        <v>1.2470000000000001</v>
      </c>
      <c r="J13" s="31">
        <v>1.1220000000000001</v>
      </c>
      <c r="K13" s="32">
        <v>1.01</v>
      </c>
      <c r="L13" s="33" t="s">
        <v>41</v>
      </c>
      <c r="M13" s="31">
        <f>0.0671*1.351+0.001</f>
        <v>9.1652100000000014E-2</v>
      </c>
      <c r="N13" s="31">
        <f>0.0671*1.351+0</f>
        <v>9.0652100000000013E-2</v>
      </c>
      <c r="O13" s="31">
        <f>0.0671*1.351+0.0297</f>
        <v>0.12035210000000002</v>
      </c>
      <c r="P13" s="31">
        <f>0.0671*1.351+0.0677</f>
        <v>0.1583521</v>
      </c>
      <c r="Q13" s="31">
        <f>0.0671*1.351+0.1448</f>
        <v>0.23545210000000003</v>
      </c>
      <c r="R13" s="31">
        <f>0.0671*1.351+0.2116</f>
        <v>0.30225210000000002</v>
      </c>
      <c r="S13" s="31">
        <f>0.0671*1.351+0.5182</f>
        <v>0.60885210000000001</v>
      </c>
      <c r="T13" s="31">
        <f>0.0671*1.351+0.596</f>
        <v>0.68665209999999999</v>
      </c>
      <c r="U13" s="34">
        <f>0.0671*1.351+0.6778</f>
        <v>0.76845209999999997</v>
      </c>
      <c r="V13" s="34">
        <f>0.0671*1.351+0.7608</f>
        <v>0.85145210000000005</v>
      </c>
    </row>
    <row r="14" spans="1:22" ht="15" customHeight="1" x14ac:dyDescent="0.25">
      <c r="A14" s="30" t="s">
        <v>42</v>
      </c>
      <c r="B14" s="31">
        <v>1.129</v>
      </c>
      <c r="C14" s="31">
        <v>1.554</v>
      </c>
      <c r="D14" s="31">
        <v>1.821</v>
      </c>
      <c r="E14" s="31">
        <v>1.8939999999999999</v>
      </c>
      <c r="F14" s="31">
        <v>1.927</v>
      </c>
      <c r="G14" s="31">
        <v>1.796</v>
      </c>
      <c r="H14" s="31">
        <v>1.4119999999999999</v>
      </c>
      <c r="I14" s="31">
        <v>1.2569999999999999</v>
      </c>
      <c r="J14" s="31">
        <v>1.1299999999999999</v>
      </c>
      <c r="K14" s="32">
        <v>1.016</v>
      </c>
      <c r="L14" s="33" t="s">
        <v>42</v>
      </c>
      <c r="M14" s="31">
        <f>0.0622*1.351+0</f>
        <v>8.4032200000000001E-2</v>
      </c>
      <c r="N14" s="31">
        <f>0.0622*1.351+0.0001</f>
        <v>8.4132200000000004E-2</v>
      </c>
      <c r="O14" s="31">
        <f>0.0622*1.351+0.0272</f>
        <v>0.1112322</v>
      </c>
      <c r="P14" s="31">
        <f>0.0622*1.351+0.0649</f>
        <v>0.14893220000000001</v>
      </c>
      <c r="Q14" s="31">
        <f>0.0622*1.351+0.1405</f>
        <v>0.22453220000000002</v>
      </c>
      <c r="R14" s="31">
        <f>0.0622*1.351+0.198</f>
        <v>0.28203220000000001</v>
      </c>
      <c r="S14" s="31">
        <f>0.0622*1.351+0.5393</f>
        <v>0.6233322</v>
      </c>
      <c r="T14" s="31">
        <f>0.0622*1.351+0.6162</f>
        <v>0.70023219999999997</v>
      </c>
      <c r="U14" s="34">
        <f>0.0622*1.351+0.697</f>
        <v>0.78103219999999995</v>
      </c>
      <c r="V14" s="34">
        <f>0.0622*1.351+0.7789</f>
        <v>0.86293220000000004</v>
      </c>
    </row>
    <row r="15" spans="1:22" ht="15" customHeight="1" x14ac:dyDescent="0.25">
      <c r="A15" s="30" t="s">
        <v>43</v>
      </c>
      <c r="B15" s="31">
        <v>1.218</v>
      </c>
      <c r="C15" s="31">
        <v>1.631</v>
      </c>
      <c r="D15" s="31">
        <v>1.887</v>
      </c>
      <c r="E15" s="31">
        <v>1.946</v>
      </c>
      <c r="F15" s="31">
        <v>1.9490000000000001</v>
      </c>
      <c r="G15" s="31">
        <v>1.821</v>
      </c>
      <c r="H15" s="31">
        <v>1.4339999999999999</v>
      </c>
      <c r="I15" s="31">
        <v>1.274</v>
      </c>
      <c r="J15" s="31">
        <v>1.143</v>
      </c>
      <c r="K15" s="32">
        <v>1.026</v>
      </c>
      <c r="L15" s="33" t="s">
        <v>43</v>
      </c>
      <c r="M15" s="31">
        <f>0.0562*1.351+0</f>
        <v>7.5926199999999999E-2</v>
      </c>
      <c r="N15" s="31">
        <f>0.0562*1.351+0.0007</f>
        <v>7.6626200000000005E-2</v>
      </c>
      <c r="O15" s="31">
        <f>0.0562*1.351+0.026</f>
        <v>0.10192619999999999</v>
      </c>
      <c r="P15" s="31">
        <f>0.0562*1.351+0.0667</f>
        <v>0.14262619999999998</v>
      </c>
      <c r="Q15" s="31">
        <f>0.0562*1.351+0.1401</f>
        <v>0.2160262</v>
      </c>
      <c r="R15" s="31">
        <f>0.0562*1.351+0.3371</f>
        <v>0.41302620000000001</v>
      </c>
      <c r="S15" s="31">
        <f>0.0562*1.351+0.5292</f>
        <v>0.60512619999999995</v>
      </c>
      <c r="T15" s="31">
        <f>0.0562*1.351+0.6069</f>
        <v>0.68282620000000005</v>
      </c>
      <c r="U15" s="34">
        <f>0.0562*1.351+0.6887</f>
        <v>0.76462619999999992</v>
      </c>
      <c r="V15" s="34">
        <f>0.0562*1.351+0.7717</f>
        <v>0.84762620000000011</v>
      </c>
    </row>
    <row r="16" spans="1:22" ht="15" customHeight="1" x14ac:dyDescent="0.25">
      <c r="A16" s="30" t="s">
        <v>44</v>
      </c>
      <c r="B16" s="31">
        <v>1.3069999999999999</v>
      </c>
      <c r="C16" s="31">
        <v>1.7090000000000001</v>
      </c>
      <c r="D16" s="31">
        <v>1.954</v>
      </c>
      <c r="E16" s="31">
        <v>1.9970000000000001</v>
      </c>
      <c r="F16" s="31">
        <v>1.9710000000000001</v>
      </c>
      <c r="G16" s="31">
        <v>1.8460000000000001</v>
      </c>
      <c r="H16" s="31">
        <v>1.456</v>
      </c>
      <c r="I16" s="31">
        <v>1.292</v>
      </c>
      <c r="J16" s="31">
        <v>1.157</v>
      </c>
      <c r="K16" s="32">
        <v>1.036</v>
      </c>
      <c r="L16" s="33" t="s">
        <v>44</v>
      </c>
      <c r="M16" s="31">
        <f>0.0503*1.351+0</f>
        <v>6.7955299999999996E-2</v>
      </c>
      <c r="N16" s="31">
        <f>0.0503*1.351+0.0013</f>
        <v>6.9255299999999992E-2</v>
      </c>
      <c r="O16" s="31">
        <f>0.0503*1.351+0.0248</f>
        <v>9.2755299999999999E-2</v>
      </c>
      <c r="P16" s="31">
        <f>0.0503*1.351+0.0684</f>
        <v>0.13635530000000001</v>
      </c>
      <c r="Q16" s="31">
        <f>0.0503*1.351+0.1397</f>
        <v>0.20765529999999999</v>
      </c>
      <c r="R16" s="31">
        <f>0.0503*1.351+0.4763</f>
        <v>0.5442553</v>
      </c>
      <c r="S16" s="31">
        <f>0.0503*1.351+0.5191</f>
        <v>0.58705530000000006</v>
      </c>
      <c r="T16" s="31">
        <f>0.0503*1.351+0.5977</f>
        <v>0.66565530000000006</v>
      </c>
      <c r="U16" s="34">
        <f>0.0503*1.351+0.6805</f>
        <v>0.74845530000000005</v>
      </c>
      <c r="V16" s="34">
        <f>0.0503*1.351+0.7646</f>
        <v>0.83255529999999989</v>
      </c>
    </row>
    <row r="17" spans="1:22" ht="15" customHeight="1" x14ac:dyDescent="0.25">
      <c r="A17" s="30" t="s">
        <v>45</v>
      </c>
      <c r="B17" s="31">
        <v>1.38</v>
      </c>
      <c r="C17" s="31">
        <v>1.776</v>
      </c>
      <c r="D17" s="31">
        <v>2.0099999999999998</v>
      </c>
      <c r="E17" s="31">
        <v>2.044</v>
      </c>
      <c r="F17" s="31">
        <v>1.9930000000000001</v>
      </c>
      <c r="G17" s="31">
        <v>1.8580000000000001</v>
      </c>
      <c r="H17" s="31">
        <v>1.464</v>
      </c>
      <c r="I17" s="31">
        <v>1.2989999999999999</v>
      </c>
      <c r="J17" s="31">
        <v>1.1619999999999999</v>
      </c>
      <c r="K17" s="32">
        <v>1.04</v>
      </c>
      <c r="L17" s="33" t="s">
        <v>45</v>
      </c>
      <c r="M17" s="31">
        <f>0.0443*1.351+0</f>
        <v>5.9849300000000001E-2</v>
      </c>
      <c r="N17" s="31">
        <f>0.0443*1.351+0.0024</f>
        <v>6.22493E-2</v>
      </c>
      <c r="O17" s="31">
        <f>0.0443*1.351+0.0244</f>
        <v>8.4249299999999999E-2</v>
      </c>
      <c r="P17" s="31">
        <f>0.0443*1.351+0.0721</f>
        <v>0.13194929999999999</v>
      </c>
      <c r="Q17" s="31">
        <f>0.0443*1.351+0.1428</f>
        <v>0.2026493</v>
      </c>
      <c r="R17" s="31">
        <f>0.0443*1.351+0.5</f>
        <v>0.55984929999999999</v>
      </c>
      <c r="S17" s="31">
        <f>0.0443*1.351+0.5437</f>
        <v>0.60354929999999996</v>
      </c>
      <c r="T17" s="31">
        <f>0.0443*1.351+0.6213</f>
        <v>0.68114929999999996</v>
      </c>
      <c r="U17" s="34">
        <f>0.0443*1.351+0.7029</f>
        <v>0.76274929999999996</v>
      </c>
      <c r="V17" s="34">
        <f>0.0443*1.351+0.7857</f>
        <v>0.84554929999999995</v>
      </c>
    </row>
    <row r="18" spans="1:22" ht="15" customHeight="1" x14ac:dyDescent="0.25">
      <c r="A18" s="30" t="s">
        <v>46</v>
      </c>
      <c r="B18" s="31">
        <v>1.4530000000000001</v>
      </c>
      <c r="C18" s="31">
        <v>1.843</v>
      </c>
      <c r="D18" s="31">
        <v>2.0649999999999999</v>
      </c>
      <c r="E18" s="31">
        <v>2.09</v>
      </c>
      <c r="F18" s="31">
        <v>2.016</v>
      </c>
      <c r="G18" s="31">
        <v>1.869</v>
      </c>
      <c r="H18" s="31">
        <v>1.4730000000000001</v>
      </c>
      <c r="I18" s="31">
        <v>1.3049999999999999</v>
      </c>
      <c r="J18" s="31">
        <v>1.167</v>
      </c>
      <c r="K18" s="32">
        <v>1.044</v>
      </c>
      <c r="L18" s="33" t="s">
        <v>46</v>
      </c>
      <c r="M18" s="31">
        <f>0.0384*1.351+0</f>
        <v>5.1878399999999991E-2</v>
      </c>
      <c r="N18" s="31">
        <f>0.0384*1.351+0.0036</f>
        <v>5.547839999999999E-2</v>
      </c>
      <c r="O18" s="31">
        <f>0.0384*1.351+0.0241</f>
        <v>7.5978399999999988E-2</v>
      </c>
      <c r="P18" s="31">
        <f>0.0384*1.351+0.0757</f>
        <v>0.12757839999999998</v>
      </c>
      <c r="Q18" s="31">
        <f>0.0384*1.351+0.146</f>
        <v>0.19787839999999998</v>
      </c>
      <c r="R18" s="31">
        <f>0.0384*1.351+0.5238</f>
        <v>0.57567840000000003</v>
      </c>
      <c r="S18" s="31">
        <f>0.0384*1.351+0.5682</f>
        <v>0.62007840000000003</v>
      </c>
      <c r="T18" s="31">
        <f>0.0384*1.351+0.6448</f>
        <v>0.69667840000000003</v>
      </c>
      <c r="U18" s="34">
        <f>0.0384*1.351+0.7253</f>
        <v>0.77717839999999994</v>
      </c>
      <c r="V18" s="34">
        <f>0.0384*1.351+0.8069</f>
        <v>0.85877839999999994</v>
      </c>
    </row>
    <row r="19" spans="1:22" ht="15" customHeight="1" x14ac:dyDescent="0.25">
      <c r="A19" s="30" t="s">
        <v>47</v>
      </c>
      <c r="B19" s="31">
        <v>1.526</v>
      </c>
      <c r="C19" s="31">
        <v>1.91</v>
      </c>
      <c r="D19" s="31">
        <v>2.121</v>
      </c>
      <c r="E19" s="31">
        <v>2.137</v>
      </c>
      <c r="F19" s="31">
        <v>2.0379999999999998</v>
      </c>
      <c r="G19" s="31">
        <v>1.881</v>
      </c>
      <c r="H19" s="31">
        <v>1.4810000000000001</v>
      </c>
      <c r="I19" s="31">
        <v>1.3120000000000001</v>
      </c>
      <c r="J19" s="31">
        <v>1.1719999999999999</v>
      </c>
      <c r="K19" s="32">
        <v>1.048</v>
      </c>
      <c r="L19" s="33" t="s">
        <v>47</v>
      </c>
      <c r="M19" s="31">
        <f>0.0324*1.351+0</f>
        <v>4.3772399999999996E-2</v>
      </c>
      <c r="N19" s="31">
        <f>0.0324*1.351+0.0047</f>
        <v>4.8472399999999999E-2</v>
      </c>
      <c r="O19" s="31">
        <f>0.0324*1.351+0.0237</f>
        <v>6.7472399999999988E-2</v>
      </c>
      <c r="P19" s="31">
        <f>0.0324*1.351+0.0794</f>
        <v>0.12317239999999999</v>
      </c>
      <c r="Q19" s="31">
        <f>0.0324*1.351+0.1491</f>
        <v>0.1928724</v>
      </c>
      <c r="R19" s="31">
        <f>0.0324*1.351+0.5475</f>
        <v>0.59127240000000003</v>
      </c>
      <c r="S19" s="31">
        <f>0.0324*1.351+0.5928</f>
        <v>0.63657240000000004</v>
      </c>
      <c r="T19" s="31">
        <f>0.0324*1.351+0.6684</f>
        <v>0.71217240000000004</v>
      </c>
      <c r="U19" s="34">
        <f>0.0324*1.351+0.7477</f>
        <v>0.79147240000000008</v>
      </c>
      <c r="V19" s="34">
        <f>0.0324*1.351+0.828</f>
        <v>0.8717724</v>
      </c>
    </row>
    <row r="22" spans="1:22" ht="15" customHeight="1" x14ac:dyDescent="0.25">
      <c r="A22" s="35"/>
    </row>
    <row r="23" spans="1:22" ht="15" customHeight="1" x14ac:dyDescent="0.25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</row>
    <row r="24" spans="1:22" ht="15" customHeight="1" x14ac:dyDescent="0.25">
      <c r="A24" s="37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</row>
    <row r="25" spans="1:22" ht="15" customHeight="1" x14ac:dyDescent="0.25">
      <c r="A25" s="37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</row>
    <row r="26" spans="1:22" ht="15" customHeight="1" x14ac:dyDescent="0.25">
      <c r="A26" s="37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</row>
    <row r="27" spans="1:22" ht="15" customHeight="1" x14ac:dyDescent="0.25">
      <c r="A27" s="37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</row>
    <row r="28" spans="1:22" ht="15" customHeight="1" x14ac:dyDescent="0.25">
      <c r="A28" s="37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</row>
    <row r="29" spans="1:22" ht="15" customHeight="1" x14ac:dyDescent="0.25">
      <c r="A29" s="37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</row>
    <row r="30" spans="1:22" ht="15" customHeight="1" x14ac:dyDescent="0.25">
      <c r="A30" s="37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</row>
    <row r="31" spans="1:22" ht="15" customHeight="1" x14ac:dyDescent="0.25">
      <c r="A31" s="37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</row>
    <row r="32" spans="1:22" ht="15" customHeight="1" x14ac:dyDescent="0.25">
      <c r="A32" s="37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</row>
    <row r="33" spans="1:16" ht="15" customHeight="1" x14ac:dyDescent="0.25">
      <c r="A33" s="37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</row>
    <row r="34" spans="1:16" ht="15" customHeight="1" x14ac:dyDescent="0.25">
      <c r="A34" s="37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</row>
    <row r="35" spans="1:16" ht="15" customHeight="1" x14ac:dyDescent="0.25">
      <c r="A35" s="37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</row>
    <row r="36" spans="1:16" ht="15" customHeight="1" x14ac:dyDescent="0.25">
      <c r="A36" s="37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</row>
    <row r="37" spans="1:16" ht="15" customHeight="1" x14ac:dyDescent="0.25">
      <c r="A37" s="37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</row>
    <row r="38" spans="1:16" ht="15" customHeight="1" x14ac:dyDescent="0.25">
      <c r="A38" s="37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</row>
    <row r="39" spans="1:16" ht="15" customHeight="1" x14ac:dyDescent="0.25">
      <c r="A39" s="37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</row>
    <row r="40" spans="1:16" ht="15" customHeight="1" x14ac:dyDescent="0.25">
      <c r="A40" s="37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</row>
    <row r="41" spans="1:16" ht="15" customHeight="1" x14ac:dyDescent="0.25">
      <c r="A41" s="37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</row>
    <row r="42" spans="1:16" ht="15" customHeight="1" x14ac:dyDescent="0.25">
      <c r="A42" s="37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</row>
    <row r="43" spans="1:16" ht="15" customHeight="1" x14ac:dyDescent="0.25">
      <c r="A43" s="37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</row>
    <row r="44" spans="1:16" ht="15" customHeight="1" x14ac:dyDescent="0.25">
      <c r="A44" s="37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</row>
    <row r="45" spans="1:16" ht="15" customHeight="1" x14ac:dyDescent="0.25">
      <c r="A45" s="37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</row>
    <row r="46" spans="1:16" ht="15" customHeight="1" x14ac:dyDescent="0.25">
      <c r="A46" s="37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</row>
    <row r="47" spans="1:16" ht="15" customHeight="1" x14ac:dyDescent="0.25">
      <c r="A47" s="37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</row>
    <row r="48" spans="1:16" ht="15" customHeight="1" x14ac:dyDescent="0.25">
      <c r="A48" s="37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</row>
    <row r="49" spans="1:16" ht="15" customHeight="1" x14ac:dyDescent="0.25">
      <c r="A49" s="37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</row>
    <row r="50" spans="1:16" ht="15" customHeight="1" x14ac:dyDescent="0.25">
      <c r="A50" s="37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</row>
    <row r="51" spans="1:16" ht="15" customHeight="1" x14ac:dyDescent="0.25">
      <c r="A51" s="37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</row>
    <row r="52" spans="1:16" ht="15" customHeight="1" x14ac:dyDescent="0.25">
      <c r="A52" s="37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</row>
    <row r="53" spans="1:16" ht="15" customHeight="1" x14ac:dyDescent="0.25">
      <c r="A53" s="37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</row>
    <row r="54" spans="1:16" ht="15" customHeight="1" x14ac:dyDescent="0.25">
      <c r="A54" s="37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</row>
    <row r="55" spans="1:16" ht="15" customHeight="1" x14ac:dyDescent="0.25">
      <c r="A55" s="37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</row>
    <row r="56" spans="1:16" ht="15" customHeight="1" x14ac:dyDescent="0.25">
      <c r="A56" s="37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</row>
    <row r="57" spans="1:16" ht="15" customHeight="1" x14ac:dyDescent="0.25">
      <c r="A57" s="37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</row>
    <row r="58" spans="1:16" ht="15" customHeight="1" x14ac:dyDescent="0.25">
      <c r="A58" s="37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</row>
    <row r="59" spans="1:16" ht="15" customHeight="1" x14ac:dyDescent="0.25">
      <c r="A59" s="37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</row>
    <row r="60" spans="1:16" ht="15" customHeight="1" x14ac:dyDescent="0.25">
      <c r="A60" s="37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</row>
    <row r="61" spans="1:16" ht="15" customHeight="1" x14ac:dyDescent="0.25">
      <c r="A61" s="37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</row>
    <row r="62" spans="1:16" ht="15" customHeight="1" x14ac:dyDescent="0.25">
      <c r="A62" s="37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</row>
    <row r="63" spans="1:16" ht="15" customHeight="1" x14ac:dyDescent="0.25">
      <c r="A63" s="37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</row>
    <row r="64" spans="1:16" ht="15" customHeight="1" x14ac:dyDescent="0.25">
      <c r="A64" s="37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</row>
    <row r="65" spans="1:16" ht="15" customHeight="1" x14ac:dyDescent="0.25">
      <c r="A65" s="37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</row>
    <row r="66" spans="1:16" ht="15" customHeight="1" x14ac:dyDescent="0.25">
      <c r="A66" s="37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</row>
    <row r="67" spans="1:16" ht="15" customHeight="1" x14ac:dyDescent="0.25">
      <c r="A67" s="37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</row>
    <row r="68" spans="1:16" ht="15" customHeight="1" x14ac:dyDescent="0.25">
      <c r="A68" s="37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</row>
    <row r="69" spans="1:16" ht="15" customHeight="1" x14ac:dyDescent="0.25">
      <c r="A69" s="37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</row>
  </sheetData>
  <conditionalFormatting sqref="B4:K19">
    <cfRule type="colorScale" priority="2">
      <colorScale>
        <cfvo type="min"/>
        <cfvo type="percentile" val="50"/>
        <cfvo type="max"/>
        <color rgb="FFEBF5FB"/>
        <color rgb="FF2980B9"/>
        <color rgb="FF1A5276"/>
      </colorScale>
    </cfRule>
  </conditionalFormatting>
  <conditionalFormatting sqref="M4:V19">
    <cfRule type="colorScale" priority="3">
      <colorScale>
        <cfvo type="min"/>
        <cfvo type="percentile" val="50"/>
        <cfvo type="max"/>
        <color rgb="FFE9F7EF"/>
        <color rgb="FFF39C12"/>
        <color rgb="FF922B21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69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7109375" defaultRowHeight="15" x14ac:dyDescent="0.25"/>
  <cols>
    <col min="1" max="1" width="8" style="1" customWidth="1"/>
    <col min="2" max="17" width="7" style="1" customWidth="1"/>
    <col min="18" max="22" width="8" style="1" customWidth="1"/>
  </cols>
  <sheetData>
    <row r="1" spans="1:22" ht="19.5" customHeight="1" x14ac:dyDescent="0.25">
      <c r="A1" s="25" t="s">
        <v>49</v>
      </c>
    </row>
    <row r="2" spans="1:22" ht="15" customHeight="1" x14ac:dyDescent="0.25">
      <c r="B2" s="26" t="s">
        <v>19</v>
      </c>
      <c r="L2" s="27"/>
      <c r="M2" s="11" t="s">
        <v>20</v>
      </c>
    </row>
    <row r="3" spans="1:22" ht="15" customHeight="1" x14ac:dyDescent="0.25">
      <c r="A3" s="28" t="s">
        <v>21</v>
      </c>
      <c r="B3" s="28" t="s">
        <v>22</v>
      </c>
      <c r="C3" s="28" t="s">
        <v>23</v>
      </c>
      <c r="D3" s="28" t="s">
        <v>24</v>
      </c>
      <c r="E3" s="28" t="s">
        <v>25</v>
      </c>
      <c r="F3" s="28" t="s">
        <v>26</v>
      </c>
      <c r="G3" s="28" t="s">
        <v>27</v>
      </c>
      <c r="H3" s="28" t="s">
        <v>28</v>
      </c>
      <c r="I3" s="28" t="s">
        <v>29</v>
      </c>
      <c r="J3" s="28" t="s">
        <v>30</v>
      </c>
      <c r="K3" s="29" t="s">
        <v>31</v>
      </c>
      <c r="L3" s="28" t="s">
        <v>21</v>
      </c>
      <c r="M3" s="28" t="s">
        <v>22</v>
      </c>
      <c r="N3" s="28" t="s">
        <v>23</v>
      </c>
      <c r="O3" s="28" t="s">
        <v>24</v>
      </c>
      <c r="P3" s="28" t="s">
        <v>25</v>
      </c>
      <c r="Q3" s="28" t="s">
        <v>26</v>
      </c>
      <c r="R3" s="28" t="s">
        <v>27</v>
      </c>
      <c r="S3" s="28" t="s">
        <v>28</v>
      </c>
      <c r="T3" s="28" t="s">
        <v>29</v>
      </c>
      <c r="U3" s="29" t="s">
        <v>30</v>
      </c>
      <c r="V3" s="29" t="s">
        <v>31</v>
      </c>
    </row>
    <row r="4" spans="1:22" ht="15" customHeight="1" x14ac:dyDescent="0.25">
      <c r="A4" s="30" t="s">
        <v>32</v>
      </c>
      <c r="B4" s="31">
        <v>0</v>
      </c>
      <c r="C4" s="31">
        <v>0.52700000000000002</v>
      </c>
      <c r="D4" s="31">
        <v>1.022</v>
      </c>
      <c r="E4" s="31">
        <v>1.407</v>
      </c>
      <c r="F4" s="31">
        <v>1.6180000000000001</v>
      </c>
      <c r="G4" s="31">
        <v>1.4370000000000001</v>
      </c>
      <c r="H4" s="31">
        <v>1.2310000000000001</v>
      </c>
      <c r="I4" s="31">
        <v>1.117</v>
      </c>
      <c r="J4" s="31">
        <v>1.02</v>
      </c>
      <c r="K4" s="32">
        <v>0.93100000000000005</v>
      </c>
      <c r="L4" s="33" t="s">
        <v>32</v>
      </c>
      <c r="M4" s="31">
        <f>0.01*1.246+0</f>
        <v>1.2460000000000001E-2</v>
      </c>
      <c r="N4" s="31">
        <f>0.01*1.246+0.0257</f>
        <v>3.8159999999999999E-2</v>
      </c>
      <c r="O4" s="31">
        <f>0.01*1.246+0.0966</f>
        <v>0.10906</v>
      </c>
      <c r="P4" s="31">
        <f>0.01*1.246+0.183</f>
        <v>0.19545999999999999</v>
      </c>
      <c r="Q4" s="31">
        <f>0.01*1.246+0.2421</f>
        <v>0.25456000000000001</v>
      </c>
      <c r="R4" s="31">
        <f>0.01*1.246+0.1909</f>
        <v>0.20335999999999999</v>
      </c>
      <c r="S4" s="31">
        <f>0.01*1.246+0.418</f>
        <v>0.43046000000000001</v>
      </c>
      <c r="T4" s="31">
        <f>0.01*1.246+0.5043</f>
        <v>0.51676</v>
      </c>
      <c r="U4" s="34">
        <f>0.01*1.246+0.5957</f>
        <v>0.60816000000000003</v>
      </c>
      <c r="V4" s="34">
        <f>0.01*1.246+0.6894</f>
        <v>0.70186000000000004</v>
      </c>
    </row>
    <row r="5" spans="1:22" ht="15" customHeight="1" x14ac:dyDescent="0.25">
      <c r="A5" s="30" t="s">
        <v>33</v>
      </c>
      <c r="B5" s="31">
        <v>0.126</v>
      </c>
      <c r="C5" s="31">
        <v>0.64700000000000002</v>
      </c>
      <c r="D5" s="31">
        <v>1.109</v>
      </c>
      <c r="E5" s="31">
        <v>1.47</v>
      </c>
      <c r="F5" s="31">
        <v>1.661</v>
      </c>
      <c r="G5" s="31">
        <v>1.49</v>
      </c>
      <c r="H5" s="31">
        <v>1.256</v>
      </c>
      <c r="I5" s="31">
        <v>1.1359999999999999</v>
      </c>
      <c r="J5" s="31">
        <v>1.0349999999999999</v>
      </c>
      <c r="K5" s="32">
        <v>0.94299999999999995</v>
      </c>
      <c r="L5" s="33" t="s">
        <v>33</v>
      </c>
      <c r="M5" s="31">
        <f>0.0121*1.246+0</f>
        <v>1.5076599999999999E-2</v>
      </c>
      <c r="N5" s="31">
        <f>0.0121*1.246+0.0242</f>
        <v>3.9276599999999995E-2</v>
      </c>
      <c r="O5" s="31">
        <f>0.0121*1.246+0.0892</f>
        <v>0.1042766</v>
      </c>
      <c r="P5" s="31">
        <f>0.0121*1.246+0.1688</f>
        <v>0.1838766</v>
      </c>
      <c r="Q5" s="31">
        <f>0.0121*1.246+0.2238</f>
        <v>0.23887659999999999</v>
      </c>
      <c r="R5" s="31">
        <f>0.0121*1.246+0.1865</f>
        <v>0.20157659999999999</v>
      </c>
      <c r="S5" s="31">
        <f>0.0121*1.246+0.4328</f>
        <v>0.44787660000000001</v>
      </c>
      <c r="T5" s="31">
        <f>0.0121*1.246+0.5182</f>
        <v>0.53327659999999999</v>
      </c>
      <c r="U5" s="34">
        <f>0.0121*1.246+0.6086</f>
        <v>0.62367660000000003</v>
      </c>
      <c r="V5" s="34">
        <f>0.0121*1.246+0.7011</f>
        <v>0.71617659999999994</v>
      </c>
    </row>
    <row r="6" spans="1:22" ht="15" customHeight="1" x14ac:dyDescent="0.25">
      <c r="A6" s="30" t="s">
        <v>34</v>
      </c>
      <c r="B6" s="31">
        <v>0.252</v>
      </c>
      <c r="C6" s="31">
        <v>0.76600000000000001</v>
      </c>
      <c r="D6" s="31">
        <v>1.196</v>
      </c>
      <c r="E6" s="31">
        <v>1.534</v>
      </c>
      <c r="F6" s="31">
        <v>1.704</v>
      </c>
      <c r="G6" s="31">
        <v>1.5429999999999999</v>
      </c>
      <c r="H6" s="31">
        <v>1.2809999999999999</v>
      </c>
      <c r="I6" s="31">
        <v>1.155</v>
      </c>
      <c r="J6" s="31">
        <v>1.05</v>
      </c>
      <c r="K6" s="32">
        <v>0.95399999999999996</v>
      </c>
      <c r="L6" s="33" t="s">
        <v>34</v>
      </c>
      <c r="M6" s="31">
        <f>0.0142*1.246+0</f>
        <v>1.7693200000000003E-2</v>
      </c>
      <c r="N6" s="31">
        <f>0.0142*1.246+0.0226</f>
        <v>4.0293200000000001E-2</v>
      </c>
      <c r="O6" s="31">
        <f>0.0142*1.246+0.0818</f>
        <v>9.9493200000000004E-2</v>
      </c>
      <c r="P6" s="31">
        <f>0.0142*1.246+0.1545</f>
        <v>0.17219319999999999</v>
      </c>
      <c r="Q6" s="31">
        <f>0.0142*1.246+0.2054</f>
        <v>0.22309319999999999</v>
      </c>
      <c r="R6" s="31">
        <f>0.0142*1.246+0.1821</f>
        <v>0.1997932</v>
      </c>
      <c r="S6" s="31">
        <f>0.0142*1.246+0.4477</f>
        <v>0.46539320000000001</v>
      </c>
      <c r="T6" s="31">
        <f>0.0142*1.246+0.5321</f>
        <v>0.54979319999999998</v>
      </c>
      <c r="U6" s="34">
        <f>0.0142*1.246+0.6215</f>
        <v>0.63919320000000002</v>
      </c>
      <c r="V6" s="34">
        <f>0.0142*1.246+0.7129</f>
        <v>0.73059319999999994</v>
      </c>
    </row>
    <row r="7" spans="1:22" ht="15" customHeight="1" x14ac:dyDescent="0.25">
      <c r="A7" s="30" t="s">
        <v>35</v>
      </c>
      <c r="B7" s="31">
        <v>0.376</v>
      </c>
      <c r="C7" s="31">
        <v>0.873</v>
      </c>
      <c r="D7" s="31">
        <v>1.278</v>
      </c>
      <c r="E7" s="31">
        <v>1.591</v>
      </c>
      <c r="F7" s="31">
        <v>1.738</v>
      </c>
      <c r="G7" s="31">
        <v>1.585</v>
      </c>
      <c r="H7" s="31">
        <v>1.3009999999999999</v>
      </c>
      <c r="I7" s="31">
        <v>1.171</v>
      </c>
      <c r="J7" s="31">
        <v>1.0620000000000001</v>
      </c>
      <c r="K7" s="32">
        <v>0.96399999999999997</v>
      </c>
      <c r="L7" s="33" t="s">
        <v>35</v>
      </c>
      <c r="M7" s="31">
        <f>0.0163*1.246+0</f>
        <v>2.0309799999999999E-2</v>
      </c>
      <c r="N7" s="31">
        <f>0.0163*1.246+0.0201</f>
        <v>4.0409799999999996E-2</v>
      </c>
      <c r="O7" s="31">
        <f>0.0163*1.246+0.0745</f>
        <v>9.48098E-2</v>
      </c>
      <c r="P7" s="31">
        <f>0.0163*1.246+0.1407</f>
        <v>0.16100979999999998</v>
      </c>
      <c r="Q7" s="31">
        <f>0.0163*1.246+0.1882</f>
        <v>0.2085098</v>
      </c>
      <c r="R7" s="31">
        <f>0.0163*1.246+0.1778</f>
        <v>0.1981098</v>
      </c>
      <c r="S7" s="31">
        <f>0.0163*1.246+0.4618</f>
        <v>0.48210979999999998</v>
      </c>
      <c r="T7" s="31">
        <f>0.0163*1.246+0.5453</f>
        <v>0.56560980000000005</v>
      </c>
      <c r="U7" s="34">
        <f>0.0163*1.246+0.6338</f>
        <v>0.65410980000000007</v>
      </c>
      <c r="V7" s="34">
        <f>0.0163*1.246+0.724</f>
        <v>0.74430980000000002</v>
      </c>
    </row>
    <row r="8" spans="1:22" ht="15" customHeight="1" x14ac:dyDescent="0.25">
      <c r="A8" s="30" t="s">
        <v>36</v>
      </c>
      <c r="B8" s="31">
        <v>0.499</v>
      </c>
      <c r="C8" s="31">
        <v>0.97899999999999998</v>
      </c>
      <c r="D8" s="31">
        <v>1.36</v>
      </c>
      <c r="E8" s="31">
        <v>1.647</v>
      </c>
      <c r="F8" s="31">
        <v>1.7729999999999999</v>
      </c>
      <c r="G8" s="31">
        <v>1.627</v>
      </c>
      <c r="H8" s="31">
        <v>1.321</v>
      </c>
      <c r="I8" s="31">
        <v>1.1870000000000001</v>
      </c>
      <c r="J8" s="31">
        <v>1.075</v>
      </c>
      <c r="K8" s="32">
        <v>0.97299999999999998</v>
      </c>
      <c r="L8" s="33" t="s">
        <v>36</v>
      </c>
      <c r="M8" s="31">
        <f>0.0185*1.246+0</f>
        <v>2.3050999999999999E-2</v>
      </c>
      <c r="N8" s="31">
        <f>0.0185*1.246+0.0175</f>
        <v>4.0551000000000004E-2</v>
      </c>
      <c r="O8" s="31">
        <f>0.0185*1.246+0.0672</f>
        <v>9.0250999999999998E-2</v>
      </c>
      <c r="P8" s="31">
        <f>0.0185*1.246+0.1269</f>
        <v>0.149951</v>
      </c>
      <c r="Q8" s="31">
        <f>0.0185*1.246+0.171</f>
        <v>0.194051</v>
      </c>
      <c r="R8" s="31">
        <f>0.0185*1.246+0.1735</f>
        <v>0.19655099999999998</v>
      </c>
      <c r="S8" s="31">
        <f>0.0185*1.246+0.4759</f>
        <v>0.49895099999999998</v>
      </c>
      <c r="T8" s="31">
        <f>0.0185*1.246+0.5585</f>
        <v>0.58155100000000004</v>
      </c>
      <c r="U8" s="34">
        <f>0.0185*1.246+0.646</f>
        <v>0.66905100000000006</v>
      </c>
      <c r="V8" s="34">
        <f>0.0185*1.246+0.7351</f>
        <v>0.75815100000000002</v>
      </c>
    </row>
    <row r="9" spans="1:22" ht="15" customHeight="1" x14ac:dyDescent="0.25">
      <c r="A9" s="30" t="s">
        <v>37</v>
      </c>
      <c r="B9" s="31">
        <v>0.61399999999999999</v>
      </c>
      <c r="C9" s="31">
        <v>1.077</v>
      </c>
      <c r="D9" s="31">
        <v>1.44</v>
      </c>
      <c r="E9" s="31">
        <v>1.6919999999999999</v>
      </c>
      <c r="F9" s="31">
        <v>1.8009999999999999</v>
      </c>
      <c r="G9" s="31">
        <v>1.66</v>
      </c>
      <c r="H9" s="31">
        <v>1.3380000000000001</v>
      </c>
      <c r="I9" s="31">
        <v>1.2</v>
      </c>
      <c r="J9" s="31">
        <v>1.0860000000000001</v>
      </c>
      <c r="K9" s="32">
        <v>0.98099999999999998</v>
      </c>
      <c r="L9" s="33" t="s">
        <v>37</v>
      </c>
      <c r="M9" s="31">
        <f>0.0206*1.246+0</f>
        <v>2.5667599999999999E-2</v>
      </c>
      <c r="N9" s="31">
        <f>0.0206*1.246+0.0151</f>
        <v>4.0767600000000001E-2</v>
      </c>
      <c r="O9" s="31">
        <f>0.0206*1.246+0.0614</f>
        <v>8.7067599999999995E-2</v>
      </c>
      <c r="P9" s="31">
        <f>0.0206*1.246+0.1143</f>
        <v>0.1399676</v>
      </c>
      <c r="Q9" s="31">
        <f>0.0206*1.246+0.1573</f>
        <v>0.18296760000000001</v>
      </c>
      <c r="R9" s="31">
        <f>0.0206*1.246+0.1717</f>
        <v>0.19736759999999998</v>
      </c>
      <c r="S9" s="31">
        <f>0.0206*1.246+0.4948</f>
        <v>0.52046760000000003</v>
      </c>
      <c r="T9" s="31">
        <f>0.0206*1.246+0.5763</f>
        <v>0.60196760000000005</v>
      </c>
      <c r="U9" s="34">
        <f>0.0206*1.246+0.6624</f>
        <v>0.6880676</v>
      </c>
      <c r="V9" s="34">
        <f>0.0206*1.246+0.7502</f>
        <v>0.77586759999999999</v>
      </c>
    </row>
    <row r="10" spans="1:22" ht="15" customHeight="1" x14ac:dyDescent="0.25">
      <c r="A10" s="30" t="s">
        <v>38</v>
      </c>
      <c r="B10" s="31">
        <v>0.72899999999999998</v>
      </c>
      <c r="C10" s="31">
        <v>1.175</v>
      </c>
      <c r="D10" s="31">
        <v>1.5189999999999999</v>
      </c>
      <c r="E10" s="31">
        <v>1.738</v>
      </c>
      <c r="F10" s="31">
        <v>1.83</v>
      </c>
      <c r="G10" s="31">
        <v>1.694</v>
      </c>
      <c r="H10" s="31">
        <v>1.355</v>
      </c>
      <c r="I10" s="31">
        <v>1.2130000000000001</v>
      </c>
      <c r="J10" s="31">
        <v>1.0960000000000001</v>
      </c>
      <c r="K10" s="32">
        <v>0.98899999999999999</v>
      </c>
      <c r="L10" s="33" t="s">
        <v>38</v>
      </c>
      <c r="M10" s="31">
        <f>0.0227*1.246+0</f>
        <v>2.8284200000000002E-2</v>
      </c>
      <c r="N10" s="31">
        <f>0.0227*1.246+0.0127</f>
        <v>4.0984199999999998E-2</v>
      </c>
      <c r="O10" s="31">
        <f>0.0227*1.246+0.0557</f>
        <v>8.3984200000000009E-2</v>
      </c>
      <c r="P10" s="31">
        <f>0.0227*1.246+0.1017</f>
        <v>0.12998419999999999</v>
      </c>
      <c r="Q10" s="31">
        <f>0.0227*1.246+0.1435</f>
        <v>0.1717842</v>
      </c>
      <c r="R10" s="31">
        <f>0.0227*1.246+0.1699</f>
        <v>0.1981842</v>
      </c>
      <c r="S10" s="31">
        <f>0.0227*1.246+0.5137</f>
        <v>0.54198420000000003</v>
      </c>
      <c r="T10" s="31">
        <f>0.0227*1.246+0.5941</f>
        <v>0.62238419999999994</v>
      </c>
      <c r="U10" s="34">
        <f>0.0227*1.246+0.6789</f>
        <v>0.70718419999999993</v>
      </c>
      <c r="V10" s="34">
        <f>0.0227*1.246+0.7653</f>
        <v>0.79358419999999996</v>
      </c>
    </row>
    <row r="11" spans="1:22" ht="15" customHeight="1" x14ac:dyDescent="0.25">
      <c r="A11" s="30" t="s">
        <v>39</v>
      </c>
      <c r="B11" s="31">
        <v>0.83299999999999996</v>
      </c>
      <c r="C11" s="31">
        <v>1.2729999999999999</v>
      </c>
      <c r="D11" s="31">
        <v>1.5960000000000001</v>
      </c>
      <c r="E11" s="31">
        <v>1.776</v>
      </c>
      <c r="F11" s="31">
        <v>1.8560000000000001</v>
      </c>
      <c r="G11" s="31">
        <v>1.722</v>
      </c>
      <c r="H11" s="31">
        <v>1.37</v>
      </c>
      <c r="I11" s="31">
        <v>1.2250000000000001</v>
      </c>
      <c r="J11" s="31">
        <v>1.105</v>
      </c>
      <c r="K11" s="32">
        <v>0.996</v>
      </c>
      <c r="L11" s="33" t="s">
        <v>39</v>
      </c>
      <c r="M11" s="31">
        <f>0.0484*1.246+0</f>
        <v>6.0306399999999996E-2</v>
      </c>
      <c r="N11" s="31">
        <f>0.0484*1.246+0.0053</f>
        <v>6.5606399999999995E-2</v>
      </c>
      <c r="O11" s="31">
        <f>0.0484*1.246+0.0429</f>
        <v>0.1032064</v>
      </c>
      <c r="P11" s="31">
        <f>0.0484*1.246+0.085</f>
        <v>0.1453064</v>
      </c>
      <c r="Q11" s="31">
        <f>0.0484*1.246+0.1452</f>
        <v>0.20550639999999998</v>
      </c>
      <c r="R11" s="31">
        <f>0.0484*1.246+0.1965</f>
        <v>0.25680639999999999</v>
      </c>
      <c r="S11" s="31">
        <f>0.0484*1.246+0.5044</f>
        <v>0.56470639999999994</v>
      </c>
      <c r="T11" s="31">
        <f>0.0484*1.246+0.5839</f>
        <v>0.64420639999999996</v>
      </c>
      <c r="U11" s="34">
        <f>0.0484*1.246+0.6677</f>
        <v>0.72800639999999994</v>
      </c>
      <c r="V11" s="34">
        <f>0.0484*1.246+0.753</f>
        <v>0.81330639999999998</v>
      </c>
    </row>
    <row r="12" spans="1:22" ht="15" customHeight="1" x14ac:dyDescent="0.25">
      <c r="A12" s="30" t="s">
        <v>40</v>
      </c>
      <c r="B12" s="31">
        <v>0.93600000000000005</v>
      </c>
      <c r="C12" s="31">
        <v>1.371</v>
      </c>
      <c r="D12" s="31">
        <v>1.6739999999999999</v>
      </c>
      <c r="E12" s="31">
        <v>1.8140000000000001</v>
      </c>
      <c r="F12" s="31">
        <v>1.881</v>
      </c>
      <c r="G12" s="31">
        <v>1.7490000000000001</v>
      </c>
      <c r="H12" s="31">
        <v>1.385</v>
      </c>
      <c r="I12" s="31">
        <v>1.2370000000000001</v>
      </c>
      <c r="J12" s="31">
        <v>1.1140000000000001</v>
      </c>
      <c r="K12" s="32">
        <v>1.0029999999999999</v>
      </c>
      <c r="L12" s="33" t="s">
        <v>40</v>
      </c>
      <c r="M12" s="31">
        <f>0.0719*1.246+0.0022</f>
        <v>9.1787400000000005E-2</v>
      </c>
      <c r="N12" s="31">
        <f>0.0719*1.246+0</f>
        <v>8.9587400000000011E-2</v>
      </c>
      <c r="O12" s="31">
        <f>0.0719*1.246+0.0323</f>
        <v>0.12188740000000001</v>
      </c>
      <c r="P12" s="31">
        <f>0.0719*1.246+0.0706</f>
        <v>0.16018740000000001</v>
      </c>
      <c r="Q12" s="31">
        <f>0.0719*1.246+0.1492</f>
        <v>0.23878740000000001</v>
      </c>
      <c r="R12" s="31">
        <f>0.0719*1.246+0.2253</f>
        <v>0.31488740000000004</v>
      </c>
      <c r="S12" s="31">
        <f>0.0719*1.246+0.4973</f>
        <v>0.58688740000000006</v>
      </c>
      <c r="T12" s="31">
        <f>0.0719*1.246+0.5759</f>
        <v>0.66548739999999995</v>
      </c>
      <c r="U12" s="34">
        <f>0.0719*1.246+0.6587</f>
        <v>0.74828739999999994</v>
      </c>
      <c r="V12" s="34">
        <f>0.0719*1.246+0.7428</f>
        <v>0.8323874</v>
      </c>
    </row>
    <row r="13" spans="1:22" ht="15" customHeight="1" x14ac:dyDescent="0.25">
      <c r="A13" s="30" t="s">
        <v>41</v>
      </c>
      <c r="B13" s="31">
        <v>1.032</v>
      </c>
      <c r="C13" s="31">
        <v>1.462</v>
      </c>
      <c r="D13" s="31">
        <v>1.748</v>
      </c>
      <c r="E13" s="31">
        <v>1.8540000000000001</v>
      </c>
      <c r="F13" s="31">
        <v>1.9039999999999999</v>
      </c>
      <c r="G13" s="31">
        <v>1.772</v>
      </c>
      <c r="H13" s="31">
        <v>1.3979999999999999</v>
      </c>
      <c r="I13" s="31">
        <v>1.2470000000000001</v>
      </c>
      <c r="J13" s="31">
        <v>1.1220000000000001</v>
      </c>
      <c r="K13" s="32">
        <v>1.01</v>
      </c>
      <c r="L13" s="33" t="s">
        <v>41</v>
      </c>
      <c r="M13" s="31">
        <f>0.0671*1.246+0.001</f>
        <v>8.4606600000000004E-2</v>
      </c>
      <c r="N13" s="31">
        <f>0.0671*1.246+0</f>
        <v>8.3606600000000003E-2</v>
      </c>
      <c r="O13" s="31">
        <f>0.0671*1.246+0.0297</f>
        <v>0.11330660000000001</v>
      </c>
      <c r="P13" s="31">
        <f>0.0671*1.246+0.0677</f>
        <v>0.15130660000000001</v>
      </c>
      <c r="Q13" s="31">
        <f>0.0671*1.246+0.1448</f>
        <v>0.22840660000000002</v>
      </c>
      <c r="R13" s="31">
        <f>0.0671*1.246+0.2116</f>
        <v>0.29520659999999999</v>
      </c>
      <c r="S13" s="31">
        <f>0.0671*1.246+0.5182</f>
        <v>0.60180659999999997</v>
      </c>
      <c r="T13" s="31">
        <f>0.0671*1.246+0.596</f>
        <v>0.67960659999999995</v>
      </c>
      <c r="U13" s="34">
        <f>0.0671*1.246+0.6778</f>
        <v>0.76140659999999993</v>
      </c>
      <c r="V13" s="34">
        <f>0.0671*1.246+0.7608</f>
        <v>0.84440660000000001</v>
      </c>
    </row>
    <row r="14" spans="1:22" ht="15" customHeight="1" x14ac:dyDescent="0.25">
      <c r="A14" s="30" t="s">
        <v>42</v>
      </c>
      <c r="B14" s="31">
        <v>1.129</v>
      </c>
      <c r="C14" s="31">
        <v>1.554</v>
      </c>
      <c r="D14" s="31">
        <v>1.821</v>
      </c>
      <c r="E14" s="31">
        <v>1.8939999999999999</v>
      </c>
      <c r="F14" s="31">
        <v>1.927</v>
      </c>
      <c r="G14" s="31">
        <v>1.796</v>
      </c>
      <c r="H14" s="31">
        <v>1.4119999999999999</v>
      </c>
      <c r="I14" s="31">
        <v>1.2569999999999999</v>
      </c>
      <c r="J14" s="31">
        <v>1.1299999999999999</v>
      </c>
      <c r="K14" s="32">
        <v>1.016</v>
      </c>
      <c r="L14" s="33" t="s">
        <v>42</v>
      </c>
      <c r="M14" s="31">
        <f>0.0622*1.246+0</f>
        <v>7.7501199999999992E-2</v>
      </c>
      <c r="N14" s="31">
        <f>0.0622*1.246+0.0001</f>
        <v>7.7601199999999995E-2</v>
      </c>
      <c r="O14" s="31">
        <f>0.0622*1.246+0.0272</f>
        <v>0.10470119999999999</v>
      </c>
      <c r="P14" s="31">
        <f>0.0622*1.246+0.0649</f>
        <v>0.14240120000000001</v>
      </c>
      <c r="Q14" s="31">
        <f>0.0622*1.246+0.1405</f>
        <v>0.21800120000000001</v>
      </c>
      <c r="R14" s="31">
        <f>0.0622*1.246+0.198</f>
        <v>0.2755012</v>
      </c>
      <c r="S14" s="31">
        <f>0.0622*1.246+0.5393</f>
        <v>0.61680120000000005</v>
      </c>
      <c r="T14" s="31">
        <f>0.0622*1.246+0.6162</f>
        <v>0.69370120000000002</v>
      </c>
      <c r="U14" s="34">
        <f>0.0622*1.246+0.697</f>
        <v>0.7745012</v>
      </c>
      <c r="V14" s="34">
        <f>0.0622*1.246+0.7789</f>
        <v>0.85640120000000008</v>
      </c>
    </row>
    <row r="15" spans="1:22" ht="15" customHeight="1" x14ac:dyDescent="0.25">
      <c r="A15" s="30" t="s">
        <v>43</v>
      </c>
      <c r="B15" s="31">
        <v>1.218</v>
      </c>
      <c r="C15" s="31">
        <v>1.631</v>
      </c>
      <c r="D15" s="31">
        <v>1.887</v>
      </c>
      <c r="E15" s="31">
        <v>1.946</v>
      </c>
      <c r="F15" s="31">
        <v>1.9490000000000001</v>
      </c>
      <c r="G15" s="31">
        <v>1.821</v>
      </c>
      <c r="H15" s="31">
        <v>1.4339999999999999</v>
      </c>
      <c r="I15" s="31">
        <v>1.274</v>
      </c>
      <c r="J15" s="31">
        <v>1.143</v>
      </c>
      <c r="K15" s="32">
        <v>1.026</v>
      </c>
      <c r="L15" s="33" t="s">
        <v>43</v>
      </c>
      <c r="M15" s="31">
        <f>0.0562*1.246+0</f>
        <v>7.0025199999999996E-2</v>
      </c>
      <c r="N15" s="31">
        <f>0.0562*1.246+0.0007</f>
        <v>7.0725200000000002E-2</v>
      </c>
      <c r="O15" s="31">
        <f>0.0562*1.246+0.026</f>
        <v>9.6025199999999991E-2</v>
      </c>
      <c r="P15" s="31">
        <f>0.0562*1.246+0.0667</f>
        <v>0.13672519999999999</v>
      </c>
      <c r="Q15" s="31">
        <f>0.0562*1.246+0.1401</f>
        <v>0.21012520000000001</v>
      </c>
      <c r="R15" s="31">
        <f>0.0562*1.246+0.3371</f>
        <v>0.40712520000000002</v>
      </c>
      <c r="S15" s="31">
        <f>0.0562*1.246+0.5292</f>
        <v>0.59922520000000001</v>
      </c>
      <c r="T15" s="31">
        <f>0.0562*1.246+0.6069</f>
        <v>0.6769252</v>
      </c>
      <c r="U15" s="34">
        <f>0.0562*1.246+0.6887</f>
        <v>0.75872519999999999</v>
      </c>
      <c r="V15" s="34">
        <f>0.0562*1.246+0.7717</f>
        <v>0.84172520000000006</v>
      </c>
    </row>
    <row r="16" spans="1:22" ht="15" customHeight="1" x14ac:dyDescent="0.25">
      <c r="A16" s="30" t="s">
        <v>44</v>
      </c>
      <c r="B16" s="31">
        <v>1.3069999999999999</v>
      </c>
      <c r="C16" s="31">
        <v>1.7090000000000001</v>
      </c>
      <c r="D16" s="31">
        <v>1.954</v>
      </c>
      <c r="E16" s="31">
        <v>1.9970000000000001</v>
      </c>
      <c r="F16" s="31">
        <v>1.9710000000000001</v>
      </c>
      <c r="G16" s="31">
        <v>1.8460000000000001</v>
      </c>
      <c r="H16" s="31">
        <v>1.456</v>
      </c>
      <c r="I16" s="31">
        <v>1.292</v>
      </c>
      <c r="J16" s="31">
        <v>1.157</v>
      </c>
      <c r="K16" s="32">
        <v>1.036</v>
      </c>
      <c r="L16" s="33" t="s">
        <v>44</v>
      </c>
      <c r="M16" s="31">
        <f>0.0503*1.246+0</f>
        <v>6.2673800000000002E-2</v>
      </c>
      <c r="N16" s="31">
        <f>0.0503*1.246+0.0013</f>
        <v>6.3973799999999997E-2</v>
      </c>
      <c r="O16" s="31">
        <f>0.0503*1.246+0.0248</f>
        <v>8.7473800000000004E-2</v>
      </c>
      <c r="P16" s="31">
        <f>0.0503*1.246+0.0684</f>
        <v>0.13107380000000002</v>
      </c>
      <c r="Q16" s="31">
        <f>0.0503*1.246+0.1397</f>
        <v>0.20237379999999999</v>
      </c>
      <c r="R16" s="31">
        <f>0.0503*1.246+0.4763</f>
        <v>0.53897379999999995</v>
      </c>
      <c r="S16" s="31">
        <f>0.0503*1.246+0.5191</f>
        <v>0.58177380000000001</v>
      </c>
      <c r="T16" s="31">
        <f>0.0503*1.246+0.5977</f>
        <v>0.66037380000000001</v>
      </c>
      <c r="U16" s="34">
        <f>0.0503*1.246+0.6805</f>
        <v>0.7431738</v>
      </c>
      <c r="V16" s="34">
        <f>0.0503*1.246+0.7646</f>
        <v>0.82727379999999995</v>
      </c>
    </row>
    <row r="17" spans="1:22" ht="15" customHeight="1" x14ac:dyDescent="0.25">
      <c r="A17" s="30" t="s">
        <v>45</v>
      </c>
      <c r="B17" s="31">
        <v>1.38</v>
      </c>
      <c r="C17" s="31">
        <v>1.776</v>
      </c>
      <c r="D17" s="31">
        <v>2.0099999999999998</v>
      </c>
      <c r="E17" s="31">
        <v>2.044</v>
      </c>
      <c r="F17" s="31">
        <v>1.9930000000000001</v>
      </c>
      <c r="G17" s="31">
        <v>1.8580000000000001</v>
      </c>
      <c r="H17" s="31">
        <v>1.464</v>
      </c>
      <c r="I17" s="31">
        <v>1.2989999999999999</v>
      </c>
      <c r="J17" s="31">
        <v>1.1619999999999999</v>
      </c>
      <c r="K17" s="32">
        <v>1.04</v>
      </c>
      <c r="L17" s="33" t="s">
        <v>45</v>
      </c>
      <c r="M17" s="31">
        <f>0.0443*1.246+0</f>
        <v>5.5197799999999998E-2</v>
      </c>
      <c r="N17" s="31">
        <f>0.0443*1.246+0.0024</f>
        <v>5.7597799999999998E-2</v>
      </c>
      <c r="O17" s="31">
        <f>0.0443*1.246+0.0244</f>
        <v>7.9597799999999996E-2</v>
      </c>
      <c r="P17" s="31">
        <f>0.0443*1.246+0.0721</f>
        <v>0.12729779999999999</v>
      </c>
      <c r="Q17" s="31">
        <f>0.0443*1.246+0.1428</f>
        <v>0.1979978</v>
      </c>
      <c r="R17" s="31">
        <f>0.0443*1.246+0.5</f>
        <v>0.55519779999999996</v>
      </c>
      <c r="S17" s="31">
        <f>0.0443*1.246+0.5437</f>
        <v>0.59889779999999992</v>
      </c>
      <c r="T17" s="31">
        <f>0.0443*1.246+0.6213</f>
        <v>0.67649779999999993</v>
      </c>
      <c r="U17" s="34">
        <f>0.0443*1.246+0.7029</f>
        <v>0.75809779999999993</v>
      </c>
      <c r="V17" s="34">
        <f>0.0443*1.246+0.7857</f>
        <v>0.84089779999999992</v>
      </c>
    </row>
    <row r="18" spans="1:22" ht="15" customHeight="1" x14ac:dyDescent="0.25">
      <c r="A18" s="30" t="s">
        <v>46</v>
      </c>
      <c r="B18" s="31">
        <v>1.4530000000000001</v>
      </c>
      <c r="C18" s="31">
        <v>1.843</v>
      </c>
      <c r="D18" s="31">
        <v>2.0649999999999999</v>
      </c>
      <c r="E18" s="31">
        <v>2.09</v>
      </c>
      <c r="F18" s="31">
        <v>2.016</v>
      </c>
      <c r="G18" s="31">
        <v>1.869</v>
      </c>
      <c r="H18" s="31">
        <v>1.4730000000000001</v>
      </c>
      <c r="I18" s="31">
        <v>1.3049999999999999</v>
      </c>
      <c r="J18" s="31">
        <v>1.167</v>
      </c>
      <c r="K18" s="32">
        <v>1.044</v>
      </c>
      <c r="L18" s="33" t="s">
        <v>46</v>
      </c>
      <c r="M18" s="31">
        <f>0.0384*1.246+0</f>
        <v>4.7846399999999997E-2</v>
      </c>
      <c r="N18" s="31">
        <f>0.0384*1.246+0.0036</f>
        <v>5.1446399999999996E-2</v>
      </c>
      <c r="O18" s="31">
        <f>0.0384*1.246+0.0241</f>
        <v>7.1946399999999994E-2</v>
      </c>
      <c r="P18" s="31">
        <f>0.0384*1.246+0.0757</f>
        <v>0.1235464</v>
      </c>
      <c r="Q18" s="31">
        <f>0.0384*1.246+0.146</f>
        <v>0.19384639999999997</v>
      </c>
      <c r="R18" s="31">
        <f>0.0384*1.246+0.5238</f>
        <v>0.5716464</v>
      </c>
      <c r="S18" s="31">
        <f>0.0384*1.246+0.5682</f>
        <v>0.61604639999999999</v>
      </c>
      <c r="T18" s="31">
        <f>0.0384*1.246+0.6448</f>
        <v>0.6926464</v>
      </c>
      <c r="U18" s="34">
        <f>0.0384*1.246+0.7253</f>
        <v>0.7731463999999999</v>
      </c>
      <c r="V18" s="34">
        <f>0.0384*1.246+0.8069</f>
        <v>0.85474639999999991</v>
      </c>
    </row>
    <row r="19" spans="1:22" ht="15" customHeight="1" x14ac:dyDescent="0.25">
      <c r="A19" s="30" t="s">
        <v>47</v>
      </c>
      <c r="B19" s="31">
        <v>1.526</v>
      </c>
      <c r="C19" s="31">
        <v>1.91</v>
      </c>
      <c r="D19" s="31">
        <v>2.121</v>
      </c>
      <c r="E19" s="31">
        <v>2.137</v>
      </c>
      <c r="F19" s="31">
        <v>2.0379999999999998</v>
      </c>
      <c r="G19" s="31">
        <v>1.881</v>
      </c>
      <c r="H19" s="31">
        <v>1.4810000000000001</v>
      </c>
      <c r="I19" s="31">
        <v>1.3120000000000001</v>
      </c>
      <c r="J19" s="31">
        <v>1.1719999999999999</v>
      </c>
      <c r="K19" s="32">
        <v>1.048</v>
      </c>
      <c r="L19" s="33" t="s">
        <v>47</v>
      </c>
      <c r="M19" s="31">
        <f>0.0324*1.246+0</f>
        <v>4.0370400000000001E-2</v>
      </c>
      <c r="N19" s="31">
        <f>0.0324*1.246+0.0047</f>
        <v>4.5070400000000004E-2</v>
      </c>
      <c r="O19" s="31">
        <f>0.0324*1.246+0.0237</f>
        <v>6.40704E-2</v>
      </c>
      <c r="P19" s="31">
        <f>0.0324*1.246+0.0794</f>
        <v>0.1197704</v>
      </c>
      <c r="Q19" s="31">
        <f>0.0324*1.246+0.1491</f>
        <v>0.18947040000000001</v>
      </c>
      <c r="R19" s="31">
        <f>0.0324*1.246+0.5475</f>
        <v>0.58787040000000002</v>
      </c>
      <c r="S19" s="31">
        <f>0.0324*1.246+0.5928</f>
        <v>0.63317040000000002</v>
      </c>
      <c r="T19" s="31">
        <f>0.0324*1.246+0.6684</f>
        <v>0.70877040000000002</v>
      </c>
      <c r="U19" s="34">
        <f>0.0324*1.246+0.7477</f>
        <v>0.78807040000000006</v>
      </c>
      <c r="V19" s="34">
        <f>0.0324*1.246+0.828</f>
        <v>0.86837039999999999</v>
      </c>
    </row>
    <row r="22" spans="1:22" ht="15" customHeight="1" x14ac:dyDescent="0.25">
      <c r="A22" s="35"/>
    </row>
    <row r="23" spans="1:22" ht="15" customHeight="1" x14ac:dyDescent="0.25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</row>
    <row r="24" spans="1:22" ht="15" customHeight="1" x14ac:dyDescent="0.25">
      <c r="A24" s="37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</row>
    <row r="25" spans="1:22" ht="15" customHeight="1" x14ac:dyDescent="0.25">
      <c r="A25" s="37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</row>
    <row r="26" spans="1:22" ht="15" customHeight="1" x14ac:dyDescent="0.25">
      <c r="A26" s="37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</row>
    <row r="27" spans="1:22" ht="15" customHeight="1" x14ac:dyDescent="0.25">
      <c r="A27" s="37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</row>
    <row r="28" spans="1:22" ht="15" customHeight="1" x14ac:dyDescent="0.25">
      <c r="A28" s="37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</row>
    <row r="29" spans="1:22" ht="15" customHeight="1" x14ac:dyDescent="0.25">
      <c r="A29" s="37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</row>
    <row r="30" spans="1:22" ht="15" customHeight="1" x14ac:dyDescent="0.25">
      <c r="A30" s="37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</row>
    <row r="31" spans="1:22" ht="15" customHeight="1" x14ac:dyDescent="0.25">
      <c r="A31" s="37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</row>
    <row r="32" spans="1:22" ht="15" customHeight="1" x14ac:dyDescent="0.25">
      <c r="A32" s="37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</row>
    <row r="33" spans="1:16" ht="15" customHeight="1" x14ac:dyDescent="0.25">
      <c r="A33" s="37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</row>
    <row r="34" spans="1:16" ht="15" customHeight="1" x14ac:dyDescent="0.25">
      <c r="A34" s="37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</row>
    <row r="35" spans="1:16" ht="15" customHeight="1" x14ac:dyDescent="0.25">
      <c r="A35" s="37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</row>
    <row r="36" spans="1:16" ht="15" customHeight="1" x14ac:dyDescent="0.25">
      <c r="A36" s="37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</row>
    <row r="37" spans="1:16" ht="15" customHeight="1" x14ac:dyDescent="0.25">
      <c r="A37" s="37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</row>
    <row r="38" spans="1:16" ht="15" customHeight="1" x14ac:dyDescent="0.25">
      <c r="A38" s="37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</row>
    <row r="39" spans="1:16" ht="15" customHeight="1" x14ac:dyDescent="0.25">
      <c r="A39" s="37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</row>
    <row r="40" spans="1:16" ht="15" customHeight="1" x14ac:dyDescent="0.25">
      <c r="A40" s="37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</row>
    <row r="41" spans="1:16" ht="15" customHeight="1" x14ac:dyDescent="0.25">
      <c r="A41" s="37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</row>
    <row r="42" spans="1:16" ht="15" customHeight="1" x14ac:dyDescent="0.25">
      <c r="A42" s="37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</row>
    <row r="43" spans="1:16" ht="15" customHeight="1" x14ac:dyDescent="0.25">
      <c r="A43" s="37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</row>
    <row r="44" spans="1:16" ht="15" customHeight="1" x14ac:dyDescent="0.25">
      <c r="A44" s="37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</row>
    <row r="45" spans="1:16" ht="15" customHeight="1" x14ac:dyDescent="0.25">
      <c r="A45" s="37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</row>
    <row r="46" spans="1:16" ht="15" customHeight="1" x14ac:dyDescent="0.25">
      <c r="A46" s="37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</row>
    <row r="47" spans="1:16" ht="15" customHeight="1" x14ac:dyDescent="0.25">
      <c r="A47" s="37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</row>
    <row r="48" spans="1:16" ht="15" customHeight="1" x14ac:dyDescent="0.25">
      <c r="A48" s="37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</row>
    <row r="49" spans="1:16" ht="15" customHeight="1" x14ac:dyDescent="0.25">
      <c r="A49" s="37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</row>
    <row r="50" spans="1:16" ht="15" customHeight="1" x14ac:dyDescent="0.25">
      <c r="A50" s="37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</row>
    <row r="51" spans="1:16" ht="15" customHeight="1" x14ac:dyDescent="0.25">
      <c r="A51" s="37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</row>
    <row r="52" spans="1:16" ht="15" customHeight="1" x14ac:dyDescent="0.25">
      <c r="A52" s="37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</row>
    <row r="53" spans="1:16" ht="15" customHeight="1" x14ac:dyDescent="0.25">
      <c r="A53" s="37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</row>
    <row r="54" spans="1:16" ht="15" customHeight="1" x14ac:dyDescent="0.25">
      <c r="A54" s="37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</row>
    <row r="55" spans="1:16" ht="15" customHeight="1" x14ac:dyDescent="0.25">
      <c r="A55" s="37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</row>
    <row r="56" spans="1:16" ht="15" customHeight="1" x14ac:dyDescent="0.25">
      <c r="A56" s="37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</row>
    <row r="57" spans="1:16" ht="15" customHeight="1" x14ac:dyDescent="0.25">
      <c r="A57" s="37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</row>
    <row r="58" spans="1:16" ht="15" customHeight="1" x14ac:dyDescent="0.25">
      <c r="A58" s="37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</row>
    <row r="59" spans="1:16" ht="15" customHeight="1" x14ac:dyDescent="0.25">
      <c r="A59" s="37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</row>
    <row r="60" spans="1:16" ht="15" customHeight="1" x14ac:dyDescent="0.25">
      <c r="A60" s="37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</row>
    <row r="61" spans="1:16" ht="15" customHeight="1" x14ac:dyDescent="0.25">
      <c r="A61" s="37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</row>
    <row r="62" spans="1:16" ht="15" customHeight="1" x14ac:dyDescent="0.25">
      <c r="A62" s="37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</row>
    <row r="63" spans="1:16" ht="15" customHeight="1" x14ac:dyDescent="0.25">
      <c r="A63" s="37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</row>
    <row r="64" spans="1:16" ht="15" customHeight="1" x14ac:dyDescent="0.25">
      <c r="A64" s="37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</row>
    <row r="65" spans="1:16" ht="15" customHeight="1" x14ac:dyDescent="0.25">
      <c r="A65" s="37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</row>
    <row r="66" spans="1:16" ht="15" customHeight="1" x14ac:dyDescent="0.25">
      <c r="A66" s="37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</row>
    <row r="67" spans="1:16" ht="15" customHeight="1" x14ac:dyDescent="0.25">
      <c r="A67" s="37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</row>
    <row r="68" spans="1:16" ht="15" customHeight="1" x14ac:dyDescent="0.25">
      <c r="A68" s="37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</row>
    <row r="69" spans="1:16" ht="15" customHeight="1" x14ac:dyDescent="0.25">
      <c r="A69" s="37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</row>
  </sheetData>
  <conditionalFormatting sqref="B4:K19">
    <cfRule type="colorScale" priority="2">
      <colorScale>
        <cfvo type="min"/>
        <cfvo type="percentile" val="50"/>
        <cfvo type="max"/>
        <color rgb="FFEBF5FB"/>
        <color rgb="FF2980B9"/>
        <color rgb="FF1A5276"/>
      </colorScale>
    </cfRule>
  </conditionalFormatting>
  <conditionalFormatting sqref="M4:V19">
    <cfRule type="colorScale" priority="3">
      <colorScale>
        <cfvo type="min"/>
        <cfvo type="percentile" val="50"/>
        <cfvo type="max"/>
        <color rgb="FFE9F7EF"/>
        <color rgb="FFF39C12"/>
        <color rgb="FF922B21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69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7109375" defaultRowHeight="15" x14ac:dyDescent="0.25"/>
  <cols>
    <col min="1" max="1" width="8" style="1" customWidth="1"/>
    <col min="2" max="17" width="7" style="1" customWidth="1"/>
    <col min="18" max="22" width="8" style="1" customWidth="1"/>
  </cols>
  <sheetData>
    <row r="1" spans="1:22" ht="19.5" customHeight="1" x14ac:dyDescent="0.25">
      <c r="A1" s="25" t="s">
        <v>50</v>
      </c>
    </row>
    <row r="2" spans="1:22" ht="15" customHeight="1" x14ac:dyDescent="0.25">
      <c r="B2" s="26" t="s">
        <v>19</v>
      </c>
      <c r="L2" s="27"/>
      <c r="M2" s="11" t="s">
        <v>20</v>
      </c>
    </row>
    <row r="3" spans="1:22" ht="15" customHeight="1" x14ac:dyDescent="0.25">
      <c r="A3" s="28" t="s">
        <v>21</v>
      </c>
      <c r="B3" s="28" t="s">
        <v>22</v>
      </c>
      <c r="C3" s="28" t="s">
        <v>23</v>
      </c>
      <c r="D3" s="28" t="s">
        <v>24</v>
      </c>
      <c r="E3" s="28" t="s">
        <v>25</v>
      </c>
      <c r="F3" s="28" t="s">
        <v>26</v>
      </c>
      <c r="G3" s="28" t="s">
        <v>27</v>
      </c>
      <c r="H3" s="28" t="s">
        <v>28</v>
      </c>
      <c r="I3" s="28" t="s">
        <v>29</v>
      </c>
      <c r="J3" s="28" t="s">
        <v>30</v>
      </c>
      <c r="K3" s="29" t="s">
        <v>31</v>
      </c>
      <c r="L3" s="28" t="s">
        <v>21</v>
      </c>
      <c r="M3" s="28" t="s">
        <v>22</v>
      </c>
      <c r="N3" s="28" t="s">
        <v>23</v>
      </c>
      <c r="O3" s="28" t="s">
        <v>24</v>
      </c>
      <c r="P3" s="28" t="s">
        <v>25</v>
      </c>
      <c r="Q3" s="28" t="s">
        <v>26</v>
      </c>
      <c r="R3" s="28" t="s">
        <v>27</v>
      </c>
      <c r="S3" s="28" t="s">
        <v>28</v>
      </c>
      <c r="T3" s="28" t="s">
        <v>29</v>
      </c>
      <c r="U3" s="29" t="s">
        <v>30</v>
      </c>
      <c r="V3" s="29" t="s">
        <v>31</v>
      </c>
    </row>
    <row r="4" spans="1:22" ht="15" customHeight="1" x14ac:dyDescent="0.25">
      <c r="A4" s="30" t="s">
        <v>32</v>
      </c>
      <c r="B4" s="31">
        <v>0</v>
      </c>
      <c r="C4" s="31">
        <v>0.52700000000000002</v>
      </c>
      <c r="D4" s="31">
        <v>1.022</v>
      </c>
      <c r="E4" s="31">
        <v>1.407</v>
      </c>
      <c r="F4" s="31">
        <v>1.6180000000000001</v>
      </c>
      <c r="G4" s="31">
        <v>1.4370000000000001</v>
      </c>
      <c r="H4" s="31">
        <v>1.2310000000000001</v>
      </c>
      <c r="I4" s="31">
        <v>1.117</v>
      </c>
      <c r="J4" s="31">
        <v>1.02</v>
      </c>
      <c r="K4" s="32">
        <v>0.93100000000000005</v>
      </c>
      <c r="L4" s="33" t="s">
        <v>32</v>
      </c>
      <c r="M4" s="31">
        <f>0.01*1.176+0</f>
        <v>1.176E-2</v>
      </c>
      <c r="N4" s="31">
        <f>0.01*1.176+0.0257</f>
        <v>3.746E-2</v>
      </c>
      <c r="O4" s="31">
        <f>0.01*1.176+0.0966</f>
        <v>0.10836000000000001</v>
      </c>
      <c r="P4" s="31">
        <f>0.01*1.176+0.183</f>
        <v>0.19475999999999999</v>
      </c>
      <c r="Q4" s="31">
        <f>0.01*1.176+0.2421</f>
        <v>0.25386000000000003</v>
      </c>
      <c r="R4" s="31">
        <f>0.01*1.176+0.1909</f>
        <v>0.20265999999999998</v>
      </c>
      <c r="S4" s="31">
        <f>0.01*1.176+0.418</f>
        <v>0.42975999999999998</v>
      </c>
      <c r="T4" s="31">
        <f>0.01*1.176+0.5043</f>
        <v>0.51605999999999996</v>
      </c>
      <c r="U4" s="34">
        <f>0.01*1.176+0.5957</f>
        <v>0.60746</v>
      </c>
      <c r="V4" s="34">
        <f>0.01*1.176+0.6894</f>
        <v>0.70116000000000001</v>
      </c>
    </row>
    <row r="5" spans="1:22" ht="15" customHeight="1" x14ac:dyDescent="0.25">
      <c r="A5" s="30" t="s">
        <v>33</v>
      </c>
      <c r="B5" s="31">
        <v>0.126</v>
      </c>
      <c r="C5" s="31">
        <v>0.64700000000000002</v>
      </c>
      <c r="D5" s="31">
        <v>1.109</v>
      </c>
      <c r="E5" s="31">
        <v>1.47</v>
      </c>
      <c r="F5" s="31">
        <v>1.661</v>
      </c>
      <c r="G5" s="31">
        <v>1.49</v>
      </c>
      <c r="H5" s="31">
        <v>1.256</v>
      </c>
      <c r="I5" s="31">
        <v>1.1359999999999999</v>
      </c>
      <c r="J5" s="31">
        <v>1.0349999999999999</v>
      </c>
      <c r="K5" s="32">
        <v>0.94299999999999995</v>
      </c>
      <c r="L5" s="33" t="s">
        <v>33</v>
      </c>
      <c r="M5" s="31">
        <f>0.0121*1.176+0</f>
        <v>1.4229599999999998E-2</v>
      </c>
      <c r="N5" s="31">
        <f>0.0121*1.176+0.0242</f>
        <v>3.8429599999999994E-2</v>
      </c>
      <c r="O5" s="31">
        <f>0.0121*1.176+0.0892</f>
        <v>0.1034296</v>
      </c>
      <c r="P5" s="31">
        <f>0.0121*1.176+0.1688</f>
        <v>0.18302960000000001</v>
      </c>
      <c r="Q5" s="31">
        <f>0.0121*1.176+0.2238</f>
        <v>0.23802960000000001</v>
      </c>
      <c r="R5" s="31">
        <f>0.0121*1.176+0.1865</f>
        <v>0.20072960000000001</v>
      </c>
      <c r="S5" s="31">
        <f>0.0121*1.176+0.4328</f>
        <v>0.44702960000000003</v>
      </c>
      <c r="T5" s="31">
        <f>0.0121*1.176+0.5182</f>
        <v>0.53242959999999995</v>
      </c>
      <c r="U5" s="34">
        <f>0.0121*1.176+0.6086</f>
        <v>0.62282959999999998</v>
      </c>
      <c r="V5" s="34">
        <f>0.0121*1.176+0.7011</f>
        <v>0.7153295999999999</v>
      </c>
    </row>
    <row r="6" spans="1:22" ht="15" customHeight="1" x14ac:dyDescent="0.25">
      <c r="A6" s="30" t="s">
        <v>34</v>
      </c>
      <c r="B6" s="31">
        <v>0.252</v>
      </c>
      <c r="C6" s="31">
        <v>0.76600000000000001</v>
      </c>
      <c r="D6" s="31">
        <v>1.196</v>
      </c>
      <c r="E6" s="31">
        <v>1.534</v>
      </c>
      <c r="F6" s="31">
        <v>1.704</v>
      </c>
      <c r="G6" s="31">
        <v>1.5429999999999999</v>
      </c>
      <c r="H6" s="31">
        <v>1.2809999999999999</v>
      </c>
      <c r="I6" s="31">
        <v>1.155</v>
      </c>
      <c r="J6" s="31">
        <v>1.05</v>
      </c>
      <c r="K6" s="32">
        <v>0.95399999999999996</v>
      </c>
      <c r="L6" s="33" t="s">
        <v>34</v>
      </c>
      <c r="M6" s="31">
        <f>0.0142*1.176+0</f>
        <v>1.6699200000000001E-2</v>
      </c>
      <c r="N6" s="31">
        <f>0.0142*1.176+0.0226</f>
        <v>3.9299199999999999E-2</v>
      </c>
      <c r="O6" s="31">
        <f>0.0142*1.176+0.0818</f>
        <v>9.8499199999999995E-2</v>
      </c>
      <c r="P6" s="31">
        <f>0.0142*1.176+0.1545</f>
        <v>0.1711992</v>
      </c>
      <c r="Q6" s="31">
        <f>0.0142*1.176+0.2054</f>
        <v>0.2220992</v>
      </c>
      <c r="R6" s="31">
        <f>0.0142*1.176+0.1821</f>
        <v>0.19879920000000001</v>
      </c>
      <c r="S6" s="31">
        <f>0.0142*1.176+0.4477</f>
        <v>0.46439920000000001</v>
      </c>
      <c r="T6" s="31">
        <f>0.0142*1.176+0.5321</f>
        <v>0.54879920000000004</v>
      </c>
      <c r="U6" s="34">
        <f>0.0142*1.176+0.6215</f>
        <v>0.63819920000000008</v>
      </c>
      <c r="V6" s="34">
        <f>0.0142*1.176+0.7129</f>
        <v>0.7295992</v>
      </c>
    </row>
    <row r="7" spans="1:22" ht="15" customHeight="1" x14ac:dyDescent="0.25">
      <c r="A7" s="30" t="s">
        <v>35</v>
      </c>
      <c r="B7" s="31">
        <v>0.376</v>
      </c>
      <c r="C7" s="31">
        <v>0.873</v>
      </c>
      <c r="D7" s="31">
        <v>1.278</v>
      </c>
      <c r="E7" s="31">
        <v>1.591</v>
      </c>
      <c r="F7" s="31">
        <v>1.738</v>
      </c>
      <c r="G7" s="31">
        <v>1.585</v>
      </c>
      <c r="H7" s="31">
        <v>1.3009999999999999</v>
      </c>
      <c r="I7" s="31">
        <v>1.171</v>
      </c>
      <c r="J7" s="31">
        <v>1.0620000000000001</v>
      </c>
      <c r="K7" s="32">
        <v>0.96399999999999997</v>
      </c>
      <c r="L7" s="33" t="s">
        <v>35</v>
      </c>
      <c r="M7" s="31">
        <f>0.0163*1.176+0</f>
        <v>1.9168799999999996E-2</v>
      </c>
      <c r="N7" s="31">
        <f>0.0163*1.176+0.0201</f>
        <v>3.9268799999999993E-2</v>
      </c>
      <c r="O7" s="31">
        <f>0.0163*1.176+0.0745</f>
        <v>9.3668799999999997E-2</v>
      </c>
      <c r="P7" s="31">
        <f>0.0163*1.176+0.1407</f>
        <v>0.15986879999999998</v>
      </c>
      <c r="Q7" s="31">
        <f>0.0163*1.176+0.1882</f>
        <v>0.20736879999999999</v>
      </c>
      <c r="R7" s="31">
        <f>0.0163*1.176+0.1778</f>
        <v>0.1969688</v>
      </c>
      <c r="S7" s="31">
        <f>0.0163*1.176+0.4618</f>
        <v>0.48096879999999997</v>
      </c>
      <c r="T7" s="31">
        <f>0.0163*1.176+0.5453</f>
        <v>0.56446879999999999</v>
      </c>
      <c r="U7" s="34">
        <f>0.0163*1.176+0.6338</f>
        <v>0.65296880000000002</v>
      </c>
      <c r="V7" s="34">
        <f>0.0163*1.176+0.724</f>
        <v>0.74316879999999996</v>
      </c>
    </row>
    <row r="8" spans="1:22" ht="15" customHeight="1" x14ac:dyDescent="0.25">
      <c r="A8" s="30" t="s">
        <v>36</v>
      </c>
      <c r="B8" s="31">
        <v>0.499</v>
      </c>
      <c r="C8" s="31">
        <v>0.97899999999999998</v>
      </c>
      <c r="D8" s="31">
        <v>1.36</v>
      </c>
      <c r="E8" s="31">
        <v>1.647</v>
      </c>
      <c r="F8" s="31">
        <v>1.7729999999999999</v>
      </c>
      <c r="G8" s="31">
        <v>1.627</v>
      </c>
      <c r="H8" s="31">
        <v>1.321</v>
      </c>
      <c r="I8" s="31">
        <v>1.1870000000000001</v>
      </c>
      <c r="J8" s="31">
        <v>1.075</v>
      </c>
      <c r="K8" s="32">
        <v>0.97299999999999998</v>
      </c>
      <c r="L8" s="33" t="s">
        <v>36</v>
      </c>
      <c r="M8" s="31">
        <f>0.0185*1.176+0</f>
        <v>2.1755999999999998E-2</v>
      </c>
      <c r="N8" s="31">
        <f>0.0185*1.176+0.0175</f>
        <v>3.9255999999999999E-2</v>
      </c>
      <c r="O8" s="31">
        <f>0.0185*1.176+0.0672</f>
        <v>8.8955999999999993E-2</v>
      </c>
      <c r="P8" s="31">
        <f>0.0185*1.176+0.1269</f>
        <v>0.14865600000000001</v>
      </c>
      <c r="Q8" s="31">
        <f>0.0185*1.176+0.171</f>
        <v>0.19275600000000001</v>
      </c>
      <c r="R8" s="31">
        <f>0.0185*1.176+0.1735</f>
        <v>0.19525599999999999</v>
      </c>
      <c r="S8" s="31">
        <f>0.0185*1.176+0.4759</f>
        <v>0.49765599999999999</v>
      </c>
      <c r="T8" s="31">
        <f>0.0185*1.176+0.5585</f>
        <v>0.58025599999999999</v>
      </c>
      <c r="U8" s="34">
        <f>0.0185*1.176+0.646</f>
        <v>0.66775600000000002</v>
      </c>
      <c r="V8" s="34">
        <f>0.0185*1.176+0.7351</f>
        <v>0.75685599999999997</v>
      </c>
    </row>
    <row r="9" spans="1:22" ht="15" customHeight="1" x14ac:dyDescent="0.25">
      <c r="A9" s="30" t="s">
        <v>37</v>
      </c>
      <c r="B9" s="31">
        <v>0.61399999999999999</v>
      </c>
      <c r="C9" s="31">
        <v>1.077</v>
      </c>
      <c r="D9" s="31">
        <v>1.44</v>
      </c>
      <c r="E9" s="31">
        <v>1.6919999999999999</v>
      </c>
      <c r="F9" s="31">
        <v>1.8009999999999999</v>
      </c>
      <c r="G9" s="31">
        <v>1.66</v>
      </c>
      <c r="H9" s="31">
        <v>1.3380000000000001</v>
      </c>
      <c r="I9" s="31">
        <v>1.2</v>
      </c>
      <c r="J9" s="31">
        <v>1.0860000000000001</v>
      </c>
      <c r="K9" s="32">
        <v>0.98099999999999998</v>
      </c>
      <c r="L9" s="33" t="s">
        <v>37</v>
      </c>
      <c r="M9" s="31">
        <f>0.0206*1.176+0</f>
        <v>2.42256E-2</v>
      </c>
      <c r="N9" s="31">
        <f>0.0206*1.176+0.0151</f>
        <v>3.9325600000000002E-2</v>
      </c>
      <c r="O9" s="31">
        <f>0.0206*1.176+0.0614</f>
        <v>8.5625599999999996E-2</v>
      </c>
      <c r="P9" s="31">
        <f>0.0206*1.176+0.1143</f>
        <v>0.1385256</v>
      </c>
      <c r="Q9" s="31">
        <f>0.0206*1.176+0.1573</f>
        <v>0.18152560000000001</v>
      </c>
      <c r="R9" s="31">
        <f>0.0206*1.176+0.1717</f>
        <v>0.19592559999999998</v>
      </c>
      <c r="S9" s="31">
        <f>0.0206*1.176+0.4948</f>
        <v>0.51902559999999998</v>
      </c>
      <c r="T9" s="31">
        <f>0.0206*1.176+0.5763</f>
        <v>0.60052559999999999</v>
      </c>
      <c r="U9" s="34">
        <f>0.0206*1.176+0.6624</f>
        <v>0.68662559999999995</v>
      </c>
      <c r="V9" s="34">
        <f>0.0206*1.176+0.7502</f>
        <v>0.77442559999999994</v>
      </c>
    </row>
    <row r="10" spans="1:22" ht="15" customHeight="1" x14ac:dyDescent="0.25">
      <c r="A10" s="30" t="s">
        <v>38</v>
      </c>
      <c r="B10" s="31">
        <v>0.72899999999999998</v>
      </c>
      <c r="C10" s="31">
        <v>1.175</v>
      </c>
      <c r="D10" s="31">
        <v>1.5189999999999999</v>
      </c>
      <c r="E10" s="31">
        <v>1.738</v>
      </c>
      <c r="F10" s="31">
        <v>1.83</v>
      </c>
      <c r="G10" s="31">
        <v>1.694</v>
      </c>
      <c r="H10" s="31">
        <v>1.355</v>
      </c>
      <c r="I10" s="31">
        <v>1.2130000000000001</v>
      </c>
      <c r="J10" s="31">
        <v>1.0960000000000001</v>
      </c>
      <c r="K10" s="32">
        <v>0.98899999999999999</v>
      </c>
      <c r="L10" s="33" t="s">
        <v>38</v>
      </c>
      <c r="M10" s="31">
        <f>0.0227*1.176+0</f>
        <v>2.6695199999999999E-2</v>
      </c>
      <c r="N10" s="31">
        <f>0.0227*1.176+0.0127</f>
        <v>3.9395199999999998E-2</v>
      </c>
      <c r="O10" s="31">
        <f>0.0227*1.176+0.0557</f>
        <v>8.2395200000000002E-2</v>
      </c>
      <c r="P10" s="31">
        <f>0.0227*1.176+0.1017</f>
        <v>0.12839519999999999</v>
      </c>
      <c r="Q10" s="31">
        <f>0.0227*1.176+0.1435</f>
        <v>0.17019519999999999</v>
      </c>
      <c r="R10" s="31">
        <f>0.0227*1.176+0.1699</f>
        <v>0.1965952</v>
      </c>
      <c r="S10" s="31">
        <f>0.0227*1.176+0.5137</f>
        <v>0.54039520000000008</v>
      </c>
      <c r="T10" s="31">
        <f>0.0227*1.176+0.5941</f>
        <v>0.62079519999999999</v>
      </c>
      <c r="U10" s="34">
        <f>0.0227*1.176+0.6789</f>
        <v>0.70559519999999998</v>
      </c>
      <c r="V10" s="34">
        <f>0.0227*1.176+0.7653</f>
        <v>0.79199520000000001</v>
      </c>
    </row>
    <row r="11" spans="1:22" ht="15" customHeight="1" x14ac:dyDescent="0.25">
      <c r="A11" s="30" t="s">
        <v>39</v>
      </c>
      <c r="B11" s="31">
        <v>0.83299999999999996</v>
      </c>
      <c r="C11" s="31">
        <v>1.2729999999999999</v>
      </c>
      <c r="D11" s="31">
        <v>1.5960000000000001</v>
      </c>
      <c r="E11" s="31">
        <v>1.776</v>
      </c>
      <c r="F11" s="31">
        <v>1.8560000000000001</v>
      </c>
      <c r="G11" s="31">
        <v>1.722</v>
      </c>
      <c r="H11" s="31">
        <v>1.37</v>
      </c>
      <c r="I11" s="31">
        <v>1.2250000000000001</v>
      </c>
      <c r="J11" s="31">
        <v>1.105</v>
      </c>
      <c r="K11" s="32">
        <v>0.996</v>
      </c>
      <c r="L11" s="33" t="s">
        <v>39</v>
      </c>
      <c r="M11" s="31">
        <f>0.0484*1.176+0</f>
        <v>5.6918399999999994E-2</v>
      </c>
      <c r="N11" s="31">
        <f>0.0484*1.176+0.0053</f>
        <v>6.2218399999999993E-2</v>
      </c>
      <c r="O11" s="31">
        <f>0.0484*1.176+0.0429</f>
        <v>9.9818400000000002E-2</v>
      </c>
      <c r="P11" s="31">
        <f>0.0484*1.176+0.085</f>
        <v>0.1419184</v>
      </c>
      <c r="Q11" s="31">
        <f>0.0484*1.176+0.1452</f>
        <v>0.20211839999999998</v>
      </c>
      <c r="R11" s="31">
        <f>0.0484*1.176+0.1965</f>
        <v>0.25341839999999999</v>
      </c>
      <c r="S11" s="31">
        <f>0.0484*1.176+0.5044</f>
        <v>0.5613184</v>
      </c>
      <c r="T11" s="31">
        <f>0.0484*1.176+0.5839</f>
        <v>0.64081840000000001</v>
      </c>
      <c r="U11" s="34">
        <f>0.0484*1.176+0.6677</f>
        <v>0.7246184</v>
      </c>
      <c r="V11" s="34">
        <f>0.0484*1.176+0.753</f>
        <v>0.80991840000000004</v>
      </c>
    </row>
    <row r="12" spans="1:22" ht="15" customHeight="1" x14ac:dyDescent="0.25">
      <c r="A12" s="30" t="s">
        <v>40</v>
      </c>
      <c r="B12" s="31">
        <v>0.93600000000000005</v>
      </c>
      <c r="C12" s="31">
        <v>1.371</v>
      </c>
      <c r="D12" s="31">
        <v>1.6739999999999999</v>
      </c>
      <c r="E12" s="31">
        <v>1.8140000000000001</v>
      </c>
      <c r="F12" s="31">
        <v>1.881</v>
      </c>
      <c r="G12" s="31">
        <v>1.7490000000000001</v>
      </c>
      <c r="H12" s="31">
        <v>1.385</v>
      </c>
      <c r="I12" s="31">
        <v>1.2370000000000001</v>
      </c>
      <c r="J12" s="31">
        <v>1.1140000000000001</v>
      </c>
      <c r="K12" s="32">
        <v>1.0029999999999999</v>
      </c>
      <c r="L12" s="33" t="s">
        <v>40</v>
      </c>
      <c r="M12" s="31">
        <f>0.0719*1.176+0.0022</f>
        <v>8.6754399999999995E-2</v>
      </c>
      <c r="N12" s="31">
        <f>0.0719*1.176+0</f>
        <v>8.4554400000000002E-2</v>
      </c>
      <c r="O12" s="31">
        <f>0.0719*1.176+0.0323</f>
        <v>0.1168544</v>
      </c>
      <c r="P12" s="31">
        <f>0.0719*1.176+0.0706</f>
        <v>0.1551544</v>
      </c>
      <c r="Q12" s="31">
        <f>0.0719*1.176+0.1492</f>
        <v>0.2337544</v>
      </c>
      <c r="R12" s="31">
        <f>0.0719*1.176+0.2253</f>
        <v>0.30985439999999997</v>
      </c>
      <c r="S12" s="31">
        <f>0.0719*1.176+0.4973</f>
        <v>0.58185439999999999</v>
      </c>
      <c r="T12" s="31">
        <f>0.0719*1.176+0.5759</f>
        <v>0.6604544</v>
      </c>
      <c r="U12" s="34">
        <f>0.0719*1.176+0.6587</f>
        <v>0.74325439999999998</v>
      </c>
      <c r="V12" s="34">
        <f>0.0719*1.176+0.7428</f>
        <v>0.82735440000000005</v>
      </c>
    </row>
    <row r="13" spans="1:22" ht="15" customHeight="1" x14ac:dyDescent="0.25">
      <c r="A13" s="30" t="s">
        <v>41</v>
      </c>
      <c r="B13" s="31">
        <v>1.032</v>
      </c>
      <c r="C13" s="31">
        <v>1.462</v>
      </c>
      <c r="D13" s="31">
        <v>1.748</v>
      </c>
      <c r="E13" s="31">
        <v>1.8540000000000001</v>
      </c>
      <c r="F13" s="31">
        <v>1.9039999999999999</v>
      </c>
      <c r="G13" s="31">
        <v>1.772</v>
      </c>
      <c r="H13" s="31">
        <v>1.3979999999999999</v>
      </c>
      <c r="I13" s="31">
        <v>1.2470000000000001</v>
      </c>
      <c r="J13" s="31">
        <v>1.1220000000000001</v>
      </c>
      <c r="K13" s="32">
        <v>1.01</v>
      </c>
      <c r="L13" s="33" t="s">
        <v>41</v>
      </c>
      <c r="M13" s="31">
        <f>0.0671*1.176+0.001</f>
        <v>7.9909600000000011E-2</v>
      </c>
      <c r="N13" s="31">
        <f>0.0671*1.176+0</f>
        <v>7.890960000000001E-2</v>
      </c>
      <c r="O13" s="31">
        <f>0.0671*1.176+0.0297</f>
        <v>0.10860960000000001</v>
      </c>
      <c r="P13" s="31">
        <f>0.0671*1.176+0.0677</f>
        <v>0.14660960000000001</v>
      </c>
      <c r="Q13" s="31">
        <f>0.0671*1.176+0.1448</f>
        <v>0.22370960000000001</v>
      </c>
      <c r="R13" s="31">
        <f>0.0671*1.176+0.2116</f>
        <v>0.29050960000000003</v>
      </c>
      <c r="S13" s="31">
        <f>0.0671*1.176+0.5182</f>
        <v>0.59710960000000002</v>
      </c>
      <c r="T13" s="31">
        <f>0.0671*1.176+0.596</f>
        <v>0.6749096</v>
      </c>
      <c r="U13" s="34">
        <f>0.0671*1.176+0.6778</f>
        <v>0.75670959999999998</v>
      </c>
      <c r="V13" s="34">
        <f>0.0671*1.176+0.7608</f>
        <v>0.83970960000000006</v>
      </c>
    </row>
    <row r="14" spans="1:22" ht="15" customHeight="1" x14ac:dyDescent="0.25">
      <c r="A14" s="30" t="s">
        <v>42</v>
      </c>
      <c r="B14" s="31">
        <v>1.129</v>
      </c>
      <c r="C14" s="31">
        <v>1.554</v>
      </c>
      <c r="D14" s="31">
        <v>1.821</v>
      </c>
      <c r="E14" s="31">
        <v>1.8939999999999999</v>
      </c>
      <c r="F14" s="31">
        <v>1.927</v>
      </c>
      <c r="G14" s="31">
        <v>1.796</v>
      </c>
      <c r="H14" s="31">
        <v>1.4119999999999999</v>
      </c>
      <c r="I14" s="31">
        <v>1.2569999999999999</v>
      </c>
      <c r="J14" s="31">
        <v>1.1299999999999999</v>
      </c>
      <c r="K14" s="32">
        <v>1.016</v>
      </c>
      <c r="L14" s="33" t="s">
        <v>42</v>
      </c>
      <c r="M14" s="31">
        <f>0.0622*1.176+0</f>
        <v>7.3147199999999996E-2</v>
      </c>
      <c r="N14" s="31">
        <f>0.0622*1.176+0.0001</f>
        <v>7.3247199999999998E-2</v>
      </c>
      <c r="O14" s="31">
        <f>0.0622*1.176+0.0272</f>
        <v>0.1003472</v>
      </c>
      <c r="P14" s="31">
        <f>0.0622*1.176+0.0649</f>
        <v>0.13804719999999998</v>
      </c>
      <c r="Q14" s="31">
        <f>0.0622*1.176+0.1405</f>
        <v>0.21364720000000001</v>
      </c>
      <c r="R14" s="31">
        <f>0.0622*1.176+0.198</f>
        <v>0.27114720000000003</v>
      </c>
      <c r="S14" s="31">
        <f>0.0622*1.176+0.5393</f>
        <v>0.61244719999999997</v>
      </c>
      <c r="T14" s="31">
        <f>0.0622*1.176+0.6162</f>
        <v>0.68934719999999994</v>
      </c>
      <c r="U14" s="34">
        <f>0.0622*1.176+0.697</f>
        <v>0.77014719999999992</v>
      </c>
      <c r="V14" s="34">
        <f>0.0622*1.176+0.7789</f>
        <v>0.8520472</v>
      </c>
    </row>
    <row r="15" spans="1:22" ht="15" customHeight="1" x14ac:dyDescent="0.25">
      <c r="A15" s="30" t="s">
        <v>43</v>
      </c>
      <c r="B15" s="31">
        <v>1.218</v>
      </c>
      <c r="C15" s="31">
        <v>1.631</v>
      </c>
      <c r="D15" s="31">
        <v>1.887</v>
      </c>
      <c r="E15" s="31">
        <v>1.946</v>
      </c>
      <c r="F15" s="31">
        <v>1.9490000000000001</v>
      </c>
      <c r="G15" s="31">
        <v>1.821</v>
      </c>
      <c r="H15" s="31">
        <v>1.4339999999999999</v>
      </c>
      <c r="I15" s="31">
        <v>1.274</v>
      </c>
      <c r="J15" s="31">
        <v>1.143</v>
      </c>
      <c r="K15" s="32">
        <v>1.026</v>
      </c>
      <c r="L15" s="33" t="s">
        <v>43</v>
      </c>
      <c r="M15" s="31">
        <f>0.0562*1.176+0</f>
        <v>6.6091200000000003E-2</v>
      </c>
      <c r="N15" s="31">
        <f>0.0562*1.176+0.0007</f>
        <v>6.6791200000000009E-2</v>
      </c>
      <c r="O15" s="31">
        <f>0.0562*1.176+0.026</f>
        <v>9.2091199999999998E-2</v>
      </c>
      <c r="P15" s="31">
        <f>0.0562*1.176+0.0667</f>
        <v>0.1327912</v>
      </c>
      <c r="Q15" s="31">
        <f>0.0562*1.176+0.1401</f>
        <v>0.20619120000000002</v>
      </c>
      <c r="R15" s="31">
        <f>0.0562*1.176+0.3371</f>
        <v>0.40319120000000003</v>
      </c>
      <c r="S15" s="31">
        <f>0.0562*1.176+0.5292</f>
        <v>0.59529120000000002</v>
      </c>
      <c r="T15" s="31">
        <f>0.0562*1.176+0.6069</f>
        <v>0.67299120000000001</v>
      </c>
      <c r="U15" s="34">
        <f>0.0562*1.176+0.6887</f>
        <v>0.7547912</v>
      </c>
      <c r="V15" s="34">
        <f>0.0562*1.176+0.7717</f>
        <v>0.83779120000000007</v>
      </c>
    </row>
    <row r="16" spans="1:22" ht="15" customHeight="1" x14ac:dyDescent="0.25">
      <c r="A16" s="30" t="s">
        <v>44</v>
      </c>
      <c r="B16" s="31">
        <v>1.3069999999999999</v>
      </c>
      <c r="C16" s="31">
        <v>1.7090000000000001</v>
      </c>
      <c r="D16" s="31">
        <v>1.954</v>
      </c>
      <c r="E16" s="31">
        <v>1.9970000000000001</v>
      </c>
      <c r="F16" s="31">
        <v>1.9710000000000001</v>
      </c>
      <c r="G16" s="31">
        <v>1.8460000000000001</v>
      </c>
      <c r="H16" s="31">
        <v>1.456</v>
      </c>
      <c r="I16" s="31">
        <v>1.292</v>
      </c>
      <c r="J16" s="31">
        <v>1.157</v>
      </c>
      <c r="K16" s="32">
        <v>1.036</v>
      </c>
      <c r="L16" s="33" t="s">
        <v>44</v>
      </c>
      <c r="M16" s="31">
        <f>0.0503*1.176+0</f>
        <v>5.9152799999999991E-2</v>
      </c>
      <c r="N16" s="31">
        <f>0.0503*1.176+0.0013</f>
        <v>6.0452799999999994E-2</v>
      </c>
      <c r="O16" s="31">
        <f>0.0503*1.176+0.0248</f>
        <v>8.3952799999999994E-2</v>
      </c>
      <c r="P16" s="31">
        <f>0.0503*1.176+0.0684</f>
        <v>0.12755279999999999</v>
      </c>
      <c r="Q16" s="31">
        <f>0.0503*1.176+0.1397</f>
        <v>0.1988528</v>
      </c>
      <c r="R16" s="31">
        <f>0.0503*1.176+0.4763</f>
        <v>0.53545279999999995</v>
      </c>
      <c r="S16" s="31">
        <f>0.0503*1.176+0.5191</f>
        <v>0.57825280000000001</v>
      </c>
      <c r="T16" s="31">
        <f>0.0503*1.176+0.5977</f>
        <v>0.65685280000000001</v>
      </c>
      <c r="U16" s="34">
        <f>0.0503*1.176+0.6805</f>
        <v>0.7396528</v>
      </c>
      <c r="V16" s="34">
        <f>0.0503*1.176+0.7646</f>
        <v>0.82375279999999995</v>
      </c>
    </row>
    <row r="17" spans="1:22" ht="15" customHeight="1" x14ac:dyDescent="0.25">
      <c r="A17" s="30" t="s">
        <v>45</v>
      </c>
      <c r="B17" s="31">
        <v>1.38</v>
      </c>
      <c r="C17" s="31">
        <v>1.776</v>
      </c>
      <c r="D17" s="31">
        <v>2.0099999999999998</v>
      </c>
      <c r="E17" s="31">
        <v>2.044</v>
      </c>
      <c r="F17" s="31">
        <v>1.9930000000000001</v>
      </c>
      <c r="G17" s="31">
        <v>1.8580000000000001</v>
      </c>
      <c r="H17" s="31">
        <v>1.464</v>
      </c>
      <c r="I17" s="31">
        <v>1.2989999999999999</v>
      </c>
      <c r="J17" s="31">
        <v>1.1619999999999999</v>
      </c>
      <c r="K17" s="32">
        <v>1.04</v>
      </c>
      <c r="L17" s="33" t="s">
        <v>45</v>
      </c>
      <c r="M17" s="31">
        <f>0.0443*1.176+0</f>
        <v>5.2096799999999999E-2</v>
      </c>
      <c r="N17" s="31">
        <f>0.0443*1.176+0.0024</f>
        <v>5.4496799999999998E-2</v>
      </c>
      <c r="O17" s="31">
        <f>0.0443*1.176+0.0244</f>
        <v>7.6496800000000004E-2</v>
      </c>
      <c r="P17" s="31">
        <f>0.0443*1.176+0.0721</f>
        <v>0.1241968</v>
      </c>
      <c r="Q17" s="31">
        <f>0.0443*1.176+0.1428</f>
        <v>0.19489680000000001</v>
      </c>
      <c r="R17" s="31">
        <f>0.0443*1.176+0.5</f>
        <v>0.55209679999999994</v>
      </c>
      <c r="S17" s="31">
        <f>0.0443*1.176+0.5437</f>
        <v>0.59579680000000002</v>
      </c>
      <c r="T17" s="31">
        <f>0.0443*1.176+0.6213</f>
        <v>0.67339679999999991</v>
      </c>
      <c r="U17" s="34">
        <f>0.0443*1.176+0.7029</f>
        <v>0.75499680000000002</v>
      </c>
      <c r="V17" s="34">
        <f>0.0443*1.176+0.7857</f>
        <v>0.83779680000000001</v>
      </c>
    </row>
    <row r="18" spans="1:22" ht="15" customHeight="1" x14ac:dyDescent="0.25">
      <c r="A18" s="30" t="s">
        <v>46</v>
      </c>
      <c r="B18" s="31">
        <v>1.4530000000000001</v>
      </c>
      <c r="C18" s="31">
        <v>1.843</v>
      </c>
      <c r="D18" s="31">
        <v>2.0649999999999999</v>
      </c>
      <c r="E18" s="31">
        <v>2.09</v>
      </c>
      <c r="F18" s="31">
        <v>2.016</v>
      </c>
      <c r="G18" s="31">
        <v>1.869</v>
      </c>
      <c r="H18" s="31">
        <v>1.4730000000000001</v>
      </c>
      <c r="I18" s="31">
        <v>1.3049999999999999</v>
      </c>
      <c r="J18" s="31">
        <v>1.167</v>
      </c>
      <c r="K18" s="32">
        <v>1.044</v>
      </c>
      <c r="L18" s="33" t="s">
        <v>46</v>
      </c>
      <c r="M18" s="31">
        <f>0.0384*1.176+0</f>
        <v>4.5158399999999994E-2</v>
      </c>
      <c r="N18" s="31">
        <f>0.0384*1.176+0.0036</f>
        <v>4.8758399999999993E-2</v>
      </c>
      <c r="O18" s="31">
        <f>0.0384*1.176+0.0241</f>
        <v>6.9258399999999998E-2</v>
      </c>
      <c r="P18" s="31">
        <f>0.0384*1.176+0.0757</f>
        <v>0.1208584</v>
      </c>
      <c r="Q18" s="31">
        <f>0.0384*1.176+0.146</f>
        <v>0.19115839999999998</v>
      </c>
      <c r="R18" s="31">
        <f>0.0384*1.176+0.5238</f>
        <v>0.56895840000000009</v>
      </c>
      <c r="S18" s="31">
        <f>0.0384*1.176+0.5682</f>
        <v>0.61335840000000008</v>
      </c>
      <c r="T18" s="31">
        <f>0.0384*1.176+0.6448</f>
        <v>0.68995840000000008</v>
      </c>
      <c r="U18" s="34">
        <f>0.0384*1.176+0.7253</f>
        <v>0.77045839999999999</v>
      </c>
      <c r="V18" s="34">
        <f>0.0384*1.176+0.8069</f>
        <v>0.85205839999999999</v>
      </c>
    </row>
    <row r="19" spans="1:22" ht="15" customHeight="1" x14ac:dyDescent="0.25">
      <c r="A19" s="30" t="s">
        <v>47</v>
      </c>
      <c r="B19" s="31">
        <v>1.526</v>
      </c>
      <c r="C19" s="31">
        <v>1.91</v>
      </c>
      <c r="D19" s="31">
        <v>2.121</v>
      </c>
      <c r="E19" s="31">
        <v>2.137</v>
      </c>
      <c r="F19" s="31">
        <v>2.0379999999999998</v>
      </c>
      <c r="G19" s="31">
        <v>1.881</v>
      </c>
      <c r="H19" s="31">
        <v>1.4810000000000001</v>
      </c>
      <c r="I19" s="31">
        <v>1.3120000000000001</v>
      </c>
      <c r="J19" s="31">
        <v>1.1719999999999999</v>
      </c>
      <c r="K19" s="32">
        <v>1.048</v>
      </c>
      <c r="L19" s="33" t="s">
        <v>47</v>
      </c>
      <c r="M19" s="31">
        <f>0.0324*1.176+0</f>
        <v>3.8102399999999995E-2</v>
      </c>
      <c r="N19" s="31">
        <f>0.0324*1.176+0.0047</f>
        <v>4.2802399999999997E-2</v>
      </c>
      <c r="O19" s="31">
        <f>0.0324*1.176+0.0237</f>
        <v>6.1802399999999993E-2</v>
      </c>
      <c r="P19" s="31">
        <f>0.0324*1.176+0.0794</f>
        <v>0.11750239999999999</v>
      </c>
      <c r="Q19" s="31">
        <f>0.0324*1.176+0.1491</f>
        <v>0.18720239999999999</v>
      </c>
      <c r="R19" s="31">
        <f>0.0324*1.176+0.5475</f>
        <v>0.58560239999999997</v>
      </c>
      <c r="S19" s="31">
        <f>0.0324*1.176+0.5928</f>
        <v>0.63090239999999997</v>
      </c>
      <c r="T19" s="31">
        <f>0.0324*1.176+0.6684</f>
        <v>0.70650239999999997</v>
      </c>
      <c r="U19" s="34">
        <f>0.0324*1.176+0.7477</f>
        <v>0.78580240000000001</v>
      </c>
      <c r="V19" s="34">
        <f>0.0324*1.176+0.828</f>
        <v>0.86610239999999994</v>
      </c>
    </row>
    <row r="22" spans="1:22" ht="15" customHeight="1" x14ac:dyDescent="0.25">
      <c r="A22" s="35"/>
    </row>
    <row r="23" spans="1:22" ht="15" customHeight="1" x14ac:dyDescent="0.25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</row>
    <row r="24" spans="1:22" ht="15" customHeight="1" x14ac:dyDescent="0.25">
      <c r="A24" s="37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</row>
    <row r="25" spans="1:22" ht="15" customHeight="1" x14ac:dyDescent="0.25">
      <c r="A25" s="37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</row>
    <row r="26" spans="1:22" ht="15" customHeight="1" x14ac:dyDescent="0.25">
      <c r="A26" s="37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</row>
    <row r="27" spans="1:22" ht="15" customHeight="1" x14ac:dyDescent="0.25">
      <c r="A27" s="37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</row>
    <row r="28" spans="1:22" ht="15" customHeight="1" x14ac:dyDescent="0.25">
      <c r="A28" s="37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</row>
    <row r="29" spans="1:22" ht="15" customHeight="1" x14ac:dyDescent="0.25">
      <c r="A29" s="37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</row>
    <row r="30" spans="1:22" ht="15" customHeight="1" x14ac:dyDescent="0.25">
      <c r="A30" s="37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</row>
    <row r="31" spans="1:22" ht="15" customHeight="1" x14ac:dyDescent="0.25">
      <c r="A31" s="37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</row>
    <row r="32" spans="1:22" ht="15" customHeight="1" x14ac:dyDescent="0.25">
      <c r="A32" s="37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</row>
    <row r="33" spans="1:16" ht="15" customHeight="1" x14ac:dyDescent="0.25">
      <c r="A33" s="37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</row>
    <row r="34" spans="1:16" ht="15" customHeight="1" x14ac:dyDescent="0.25">
      <c r="A34" s="37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</row>
    <row r="35" spans="1:16" ht="15" customHeight="1" x14ac:dyDescent="0.25">
      <c r="A35" s="37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</row>
    <row r="36" spans="1:16" ht="15" customHeight="1" x14ac:dyDescent="0.25">
      <c r="A36" s="37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</row>
    <row r="37" spans="1:16" ht="15" customHeight="1" x14ac:dyDescent="0.25">
      <c r="A37" s="37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</row>
    <row r="38" spans="1:16" ht="15" customHeight="1" x14ac:dyDescent="0.25">
      <c r="A38" s="37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</row>
    <row r="39" spans="1:16" ht="15" customHeight="1" x14ac:dyDescent="0.25">
      <c r="A39" s="37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</row>
    <row r="40" spans="1:16" ht="15" customHeight="1" x14ac:dyDescent="0.25">
      <c r="A40" s="37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</row>
    <row r="41" spans="1:16" ht="15" customHeight="1" x14ac:dyDescent="0.25">
      <c r="A41" s="37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</row>
    <row r="42" spans="1:16" ht="15" customHeight="1" x14ac:dyDescent="0.25">
      <c r="A42" s="37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</row>
    <row r="43" spans="1:16" ht="15" customHeight="1" x14ac:dyDescent="0.25">
      <c r="A43" s="37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</row>
    <row r="44" spans="1:16" ht="15" customHeight="1" x14ac:dyDescent="0.25">
      <c r="A44" s="37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</row>
    <row r="45" spans="1:16" ht="15" customHeight="1" x14ac:dyDescent="0.25">
      <c r="A45" s="37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</row>
    <row r="46" spans="1:16" ht="15" customHeight="1" x14ac:dyDescent="0.25">
      <c r="A46" s="37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</row>
    <row r="47" spans="1:16" ht="15" customHeight="1" x14ac:dyDescent="0.25">
      <c r="A47" s="37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</row>
    <row r="48" spans="1:16" ht="15" customHeight="1" x14ac:dyDescent="0.25">
      <c r="A48" s="37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</row>
    <row r="49" spans="1:16" ht="15" customHeight="1" x14ac:dyDescent="0.25">
      <c r="A49" s="37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</row>
    <row r="50" spans="1:16" ht="15" customHeight="1" x14ac:dyDescent="0.25">
      <c r="A50" s="37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</row>
    <row r="51" spans="1:16" ht="15" customHeight="1" x14ac:dyDescent="0.25">
      <c r="A51" s="37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</row>
    <row r="52" spans="1:16" ht="15" customHeight="1" x14ac:dyDescent="0.25">
      <c r="A52" s="37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</row>
    <row r="53" spans="1:16" ht="15" customHeight="1" x14ac:dyDescent="0.25">
      <c r="A53" s="37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</row>
    <row r="54" spans="1:16" ht="15" customHeight="1" x14ac:dyDescent="0.25">
      <c r="A54" s="37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</row>
    <row r="55" spans="1:16" ht="15" customHeight="1" x14ac:dyDescent="0.25">
      <c r="A55" s="37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</row>
    <row r="56" spans="1:16" ht="15" customHeight="1" x14ac:dyDescent="0.25">
      <c r="A56" s="37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</row>
    <row r="57" spans="1:16" ht="15" customHeight="1" x14ac:dyDescent="0.25">
      <c r="A57" s="37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</row>
    <row r="58" spans="1:16" ht="15" customHeight="1" x14ac:dyDescent="0.25">
      <c r="A58" s="37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</row>
    <row r="59" spans="1:16" ht="15" customHeight="1" x14ac:dyDescent="0.25">
      <c r="A59" s="37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</row>
    <row r="60" spans="1:16" ht="15" customHeight="1" x14ac:dyDescent="0.25">
      <c r="A60" s="37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</row>
    <row r="61" spans="1:16" ht="15" customHeight="1" x14ac:dyDescent="0.25">
      <c r="A61" s="37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</row>
    <row r="62" spans="1:16" ht="15" customHeight="1" x14ac:dyDescent="0.25">
      <c r="A62" s="37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</row>
    <row r="63" spans="1:16" ht="15" customHeight="1" x14ac:dyDescent="0.25">
      <c r="A63" s="37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</row>
    <row r="64" spans="1:16" ht="15" customHeight="1" x14ac:dyDescent="0.25">
      <c r="A64" s="37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</row>
    <row r="65" spans="1:16" ht="15" customHeight="1" x14ac:dyDescent="0.25">
      <c r="A65" s="37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</row>
    <row r="66" spans="1:16" ht="15" customHeight="1" x14ac:dyDescent="0.25">
      <c r="A66" s="37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</row>
    <row r="67" spans="1:16" ht="15" customHeight="1" x14ac:dyDescent="0.25">
      <c r="A67" s="37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</row>
    <row r="68" spans="1:16" ht="15" customHeight="1" x14ac:dyDescent="0.25">
      <c r="A68" s="37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</row>
    <row r="69" spans="1:16" ht="15" customHeight="1" x14ac:dyDescent="0.25">
      <c r="A69" s="37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</row>
  </sheetData>
  <conditionalFormatting sqref="B4:K19">
    <cfRule type="colorScale" priority="2">
      <colorScale>
        <cfvo type="min"/>
        <cfvo type="percentile" val="50"/>
        <cfvo type="max"/>
        <color rgb="FFEBF5FB"/>
        <color rgb="FF2980B9"/>
        <color rgb="FF1A5276"/>
      </colorScale>
    </cfRule>
  </conditionalFormatting>
  <conditionalFormatting sqref="M4:V19">
    <cfRule type="colorScale" priority="3">
      <colorScale>
        <cfvo type="min"/>
        <cfvo type="percentile" val="50"/>
        <cfvo type="max"/>
        <color rgb="FFE9F7EF"/>
        <color rgb="FFF39C12"/>
        <color rgb="FF922B21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69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7109375" defaultRowHeight="15" x14ac:dyDescent="0.25"/>
  <cols>
    <col min="1" max="1" width="8" style="1" customWidth="1"/>
    <col min="2" max="17" width="7" style="1" customWidth="1"/>
    <col min="18" max="22" width="8" style="1" customWidth="1"/>
  </cols>
  <sheetData>
    <row r="1" spans="1:22" ht="19.5" customHeight="1" x14ac:dyDescent="0.25">
      <c r="A1" s="25" t="s">
        <v>51</v>
      </c>
    </row>
    <row r="2" spans="1:22" ht="15" customHeight="1" x14ac:dyDescent="0.25">
      <c r="B2" s="26" t="s">
        <v>19</v>
      </c>
      <c r="L2" s="27"/>
      <c r="M2" s="11" t="s">
        <v>20</v>
      </c>
    </row>
    <row r="3" spans="1:22" ht="15" customHeight="1" x14ac:dyDescent="0.25">
      <c r="A3" s="28" t="s">
        <v>21</v>
      </c>
      <c r="B3" s="28" t="s">
        <v>22</v>
      </c>
      <c r="C3" s="28" t="s">
        <v>23</v>
      </c>
      <c r="D3" s="28" t="s">
        <v>24</v>
      </c>
      <c r="E3" s="28" t="s">
        <v>25</v>
      </c>
      <c r="F3" s="28" t="s">
        <v>26</v>
      </c>
      <c r="G3" s="28" t="s">
        <v>27</v>
      </c>
      <c r="H3" s="28" t="s">
        <v>28</v>
      </c>
      <c r="I3" s="28" t="s">
        <v>29</v>
      </c>
      <c r="J3" s="28" t="s">
        <v>30</v>
      </c>
      <c r="K3" s="29" t="s">
        <v>31</v>
      </c>
      <c r="L3" s="28" t="s">
        <v>21</v>
      </c>
      <c r="M3" s="28" t="s">
        <v>22</v>
      </c>
      <c r="N3" s="28" t="s">
        <v>23</v>
      </c>
      <c r="O3" s="28" t="s">
        <v>24</v>
      </c>
      <c r="P3" s="28" t="s">
        <v>25</v>
      </c>
      <c r="Q3" s="28" t="s">
        <v>26</v>
      </c>
      <c r="R3" s="28" t="s">
        <v>27</v>
      </c>
      <c r="S3" s="28" t="s">
        <v>28</v>
      </c>
      <c r="T3" s="28" t="s">
        <v>29</v>
      </c>
      <c r="U3" s="29" t="s">
        <v>30</v>
      </c>
      <c r="V3" s="29" t="s">
        <v>31</v>
      </c>
    </row>
    <row r="4" spans="1:22" ht="15" customHeight="1" x14ac:dyDescent="0.25">
      <c r="A4" s="30" t="s">
        <v>32</v>
      </c>
      <c r="B4" s="31">
        <v>0</v>
      </c>
      <c r="C4" s="31">
        <v>0.52700000000000002</v>
      </c>
      <c r="D4" s="31">
        <v>1.022</v>
      </c>
      <c r="E4" s="31">
        <v>1.407</v>
      </c>
      <c r="F4" s="31">
        <v>1.6180000000000001</v>
      </c>
      <c r="G4" s="31">
        <v>1.4370000000000001</v>
      </c>
      <c r="H4" s="31">
        <v>1.2310000000000001</v>
      </c>
      <c r="I4" s="31">
        <v>1.117</v>
      </c>
      <c r="J4" s="31">
        <v>1.02</v>
      </c>
      <c r="K4" s="32">
        <v>0.93100000000000005</v>
      </c>
      <c r="L4" s="33" t="s">
        <v>32</v>
      </c>
      <c r="M4" s="31">
        <f>0.01*1.125+0</f>
        <v>1.125E-2</v>
      </c>
      <c r="N4" s="31">
        <f>0.01*1.125+0.0257</f>
        <v>3.6949999999999997E-2</v>
      </c>
      <c r="O4" s="31">
        <f>0.01*1.125+0.0966</f>
        <v>0.10785</v>
      </c>
      <c r="P4" s="31">
        <f>0.01*1.125+0.183</f>
        <v>0.19425000000000001</v>
      </c>
      <c r="Q4" s="31">
        <f>0.01*1.125+0.2421</f>
        <v>0.25335000000000002</v>
      </c>
      <c r="R4" s="31">
        <f>0.01*1.125+0.1909</f>
        <v>0.20215</v>
      </c>
      <c r="S4" s="31">
        <f>0.01*1.125+0.418</f>
        <v>0.42924999999999996</v>
      </c>
      <c r="T4" s="31">
        <f>0.01*1.125+0.5043</f>
        <v>0.51554999999999995</v>
      </c>
      <c r="U4" s="34">
        <f>0.01*1.125+0.5957</f>
        <v>0.60694999999999999</v>
      </c>
      <c r="V4" s="34">
        <f>0.01*1.125+0.6894</f>
        <v>0.70065</v>
      </c>
    </row>
    <row r="5" spans="1:22" ht="15" customHeight="1" x14ac:dyDescent="0.25">
      <c r="A5" s="30" t="s">
        <v>33</v>
      </c>
      <c r="B5" s="31">
        <v>0.126</v>
      </c>
      <c r="C5" s="31">
        <v>0.64700000000000002</v>
      </c>
      <c r="D5" s="31">
        <v>1.109</v>
      </c>
      <c r="E5" s="31">
        <v>1.47</v>
      </c>
      <c r="F5" s="31">
        <v>1.661</v>
      </c>
      <c r="G5" s="31">
        <v>1.49</v>
      </c>
      <c r="H5" s="31">
        <v>1.256</v>
      </c>
      <c r="I5" s="31">
        <v>1.1359999999999999</v>
      </c>
      <c r="J5" s="31">
        <v>1.0349999999999999</v>
      </c>
      <c r="K5" s="32">
        <v>0.94299999999999995</v>
      </c>
      <c r="L5" s="33" t="s">
        <v>33</v>
      </c>
      <c r="M5" s="31">
        <f>0.0121*1.125+0</f>
        <v>1.36125E-2</v>
      </c>
      <c r="N5" s="31">
        <f>0.0121*1.125+0.0242</f>
        <v>3.7812499999999999E-2</v>
      </c>
      <c r="O5" s="31">
        <f>0.0121*1.125+0.0892</f>
        <v>0.1028125</v>
      </c>
      <c r="P5" s="31">
        <f>0.0121*1.125+0.1688</f>
        <v>0.18241250000000001</v>
      </c>
      <c r="Q5" s="31">
        <f>0.0121*1.125+0.2238</f>
        <v>0.2374125</v>
      </c>
      <c r="R5" s="31">
        <f>0.0121*1.125+0.1865</f>
        <v>0.2001125</v>
      </c>
      <c r="S5" s="31">
        <f>0.0121*1.125+0.4328</f>
        <v>0.44641249999999999</v>
      </c>
      <c r="T5" s="31">
        <f>0.0121*1.125+0.5182</f>
        <v>0.53181250000000002</v>
      </c>
      <c r="U5" s="34">
        <f>0.0121*1.125+0.6086</f>
        <v>0.62221250000000006</v>
      </c>
      <c r="V5" s="34">
        <f>0.0121*1.125+0.7011</f>
        <v>0.71471249999999997</v>
      </c>
    </row>
    <row r="6" spans="1:22" ht="15" customHeight="1" x14ac:dyDescent="0.25">
      <c r="A6" s="30" t="s">
        <v>34</v>
      </c>
      <c r="B6" s="31">
        <v>0.252</v>
      </c>
      <c r="C6" s="31">
        <v>0.76600000000000001</v>
      </c>
      <c r="D6" s="31">
        <v>1.196</v>
      </c>
      <c r="E6" s="31">
        <v>1.534</v>
      </c>
      <c r="F6" s="31">
        <v>1.704</v>
      </c>
      <c r="G6" s="31">
        <v>1.5429999999999999</v>
      </c>
      <c r="H6" s="31">
        <v>1.2809999999999999</v>
      </c>
      <c r="I6" s="31">
        <v>1.155</v>
      </c>
      <c r="J6" s="31">
        <v>1.05</v>
      </c>
      <c r="K6" s="32">
        <v>0.95399999999999996</v>
      </c>
      <c r="L6" s="33" t="s">
        <v>34</v>
      </c>
      <c r="M6" s="31">
        <f>0.0142*1.125+0</f>
        <v>1.5975E-2</v>
      </c>
      <c r="N6" s="31">
        <f>0.0142*1.125+0.0226</f>
        <v>3.8574999999999998E-2</v>
      </c>
      <c r="O6" s="31">
        <f>0.0142*1.125+0.0818</f>
        <v>9.7775000000000001E-2</v>
      </c>
      <c r="P6" s="31">
        <f>0.0142*1.125+0.1545</f>
        <v>0.17047499999999999</v>
      </c>
      <c r="Q6" s="31">
        <f>0.0142*1.125+0.2054</f>
        <v>0.22137499999999999</v>
      </c>
      <c r="R6" s="31">
        <f>0.0142*1.125+0.1821</f>
        <v>0.198075</v>
      </c>
      <c r="S6" s="31">
        <f>0.0142*1.125+0.4477</f>
        <v>0.463675</v>
      </c>
      <c r="T6" s="31">
        <f>0.0142*1.125+0.5321</f>
        <v>0.54807499999999998</v>
      </c>
      <c r="U6" s="34">
        <f>0.0142*1.125+0.6215</f>
        <v>0.63747500000000001</v>
      </c>
      <c r="V6" s="34">
        <f>0.0142*1.125+0.7129</f>
        <v>0.72887499999999994</v>
      </c>
    </row>
    <row r="7" spans="1:22" ht="15" customHeight="1" x14ac:dyDescent="0.25">
      <c r="A7" s="30" t="s">
        <v>35</v>
      </c>
      <c r="B7" s="31">
        <v>0.376</v>
      </c>
      <c r="C7" s="31">
        <v>0.873</v>
      </c>
      <c r="D7" s="31">
        <v>1.278</v>
      </c>
      <c r="E7" s="31">
        <v>1.591</v>
      </c>
      <c r="F7" s="31">
        <v>1.738</v>
      </c>
      <c r="G7" s="31">
        <v>1.585</v>
      </c>
      <c r="H7" s="31">
        <v>1.3009999999999999</v>
      </c>
      <c r="I7" s="31">
        <v>1.171</v>
      </c>
      <c r="J7" s="31">
        <v>1.0620000000000001</v>
      </c>
      <c r="K7" s="32">
        <v>0.96399999999999997</v>
      </c>
      <c r="L7" s="33" t="s">
        <v>35</v>
      </c>
      <c r="M7" s="31">
        <f>0.0163*1.125+0</f>
        <v>1.83375E-2</v>
      </c>
      <c r="N7" s="31">
        <f>0.0163*1.125+0.0201</f>
        <v>3.8437499999999999E-2</v>
      </c>
      <c r="O7" s="31">
        <f>0.0163*1.125+0.0745</f>
        <v>9.2837499999999989E-2</v>
      </c>
      <c r="P7" s="31">
        <f>0.0163*1.125+0.1407</f>
        <v>0.1590375</v>
      </c>
      <c r="Q7" s="31">
        <f>0.0163*1.125+0.1882</f>
        <v>0.20653750000000001</v>
      </c>
      <c r="R7" s="31">
        <f>0.0163*1.125+0.1778</f>
        <v>0.19613750000000002</v>
      </c>
      <c r="S7" s="31">
        <f>0.0163*1.125+0.4618</f>
        <v>0.48013749999999999</v>
      </c>
      <c r="T7" s="31">
        <f>0.0163*1.125+0.5453</f>
        <v>0.56363750000000001</v>
      </c>
      <c r="U7" s="34">
        <f>0.0163*1.125+0.6338</f>
        <v>0.65213750000000004</v>
      </c>
      <c r="V7" s="34">
        <f>0.0163*1.125+0.724</f>
        <v>0.74233749999999998</v>
      </c>
    </row>
    <row r="8" spans="1:22" ht="15" customHeight="1" x14ac:dyDescent="0.25">
      <c r="A8" s="30" t="s">
        <v>36</v>
      </c>
      <c r="B8" s="31">
        <v>0.499</v>
      </c>
      <c r="C8" s="31">
        <v>0.97899999999999998</v>
      </c>
      <c r="D8" s="31">
        <v>1.36</v>
      </c>
      <c r="E8" s="31">
        <v>1.647</v>
      </c>
      <c r="F8" s="31">
        <v>1.7729999999999999</v>
      </c>
      <c r="G8" s="31">
        <v>1.627</v>
      </c>
      <c r="H8" s="31">
        <v>1.321</v>
      </c>
      <c r="I8" s="31">
        <v>1.1870000000000001</v>
      </c>
      <c r="J8" s="31">
        <v>1.075</v>
      </c>
      <c r="K8" s="32">
        <v>0.97299999999999998</v>
      </c>
      <c r="L8" s="33" t="s">
        <v>36</v>
      </c>
      <c r="M8" s="31">
        <f>0.0185*1.125+0</f>
        <v>2.0812499999999998E-2</v>
      </c>
      <c r="N8" s="31">
        <f>0.0185*1.125+0.0175</f>
        <v>3.8312499999999999E-2</v>
      </c>
      <c r="O8" s="31">
        <f>0.0185*1.125+0.0672</f>
        <v>8.8012499999999994E-2</v>
      </c>
      <c r="P8" s="31">
        <f>0.0185*1.125+0.1269</f>
        <v>0.14771250000000002</v>
      </c>
      <c r="Q8" s="31">
        <f>0.0185*1.125+0.171</f>
        <v>0.1918125</v>
      </c>
      <c r="R8" s="31">
        <f>0.0185*1.125+0.1735</f>
        <v>0.1943125</v>
      </c>
      <c r="S8" s="31">
        <f>0.0185*1.125+0.4759</f>
        <v>0.4967125</v>
      </c>
      <c r="T8" s="31">
        <f>0.0185*1.125+0.5585</f>
        <v>0.57931250000000001</v>
      </c>
      <c r="U8" s="34">
        <f>0.0185*1.125+0.646</f>
        <v>0.66681250000000003</v>
      </c>
      <c r="V8" s="34">
        <f>0.0185*1.125+0.7351</f>
        <v>0.75591249999999999</v>
      </c>
    </row>
    <row r="9" spans="1:22" ht="15" customHeight="1" x14ac:dyDescent="0.25">
      <c r="A9" s="30" t="s">
        <v>37</v>
      </c>
      <c r="B9" s="31">
        <v>0.61399999999999999</v>
      </c>
      <c r="C9" s="31">
        <v>1.077</v>
      </c>
      <c r="D9" s="31">
        <v>1.44</v>
      </c>
      <c r="E9" s="31">
        <v>1.6919999999999999</v>
      </c>
      <c r="F9" s="31">
        <v>1.8009999999999999</v>
      </c>
      <c r="G9" s="31">
        <v>1.66</v>
      </c>
      <c r="H9" s="31">
        <v>1.3380000000000001</v>
      </c>
      <c r="I9" s="31">
        <v>1.2</v>
      </c>
      <c r="J9" s="31">
        <v>1.0860000000000001</v>
      </c>
      <c r="K9" s="32">
        <v>0.98099999999999998</v>
      </c>
      <c r="L9" s="33" t="s">
        <v>37</v>
      </c>
      <c r="M9" s="31">
        <f>0.0206*1.125+0</f>
        <v>2.3175000000000001E-2</v>
      </c>
      <c r="N9" s="31">
        <f>0.0206*1.125+0.0151</f>
        <v>3.8275000000000003E-2</v>
      </c>
      <c r="O9" s="31">
        <f>0.0206*1.125+0.0614</f>
        <v>8.4575000000000011E-2</v>
      </c>
      <c r="P9" s="31">
        <f>0.0206*1.125+0.1143</f>
        <v>0.13747500000000001</v>
      </c>
      <c r="Q9" s="31">
        <f>0.0206*1.125+0.1573</f>
        <v>0.180475</v>
      </c>
      <c r="R9" s="31">
        <f>0.0206*1.125+0.1717</f>
        <v>0.19487499999999999</v>
      </c>
      <c r="S9" s="31">
        <f>0.0206*1.125+0.4948</f>
        <v>0.51797500000000007</v>
      </c>
      <c r="T9" s="31">
        <f>0.0206*1.125+0.5763</f>
        <v>0.59947499999999998</v>
      </c>
      <c r="U9" s="34">
        <f>0.0206*1.125+0.6624</f>
        <v>0.68557500000000005</v>
      </c>
      <c r="V9" s="34">
        <f>0.0206*1.125+0.7502</f>
        <v>0.77337499999999992</v>
      </c>
    </row>
    <row r="10" spans="1:22" ht="15" customHeight="1" x14ac:dyDescent="0.25">
      <c r="A10" s="30" t="s">
        <v>38</v>
      </c>
      <c r="B10" s="31">
        <v>0.72899999999999998</v>
      </c>
      <c r="C10" s="31">
        <v>1.175</v>
      </c>
      <c r="D10" s="31">
        <v>1.5189999999999999</v>
      </c>
      <c r="E10" s="31">
        <v>1.738</v>
      </c>
      <c r="F10" s="31">
        <v>1.83</v>
      </c>
      <c r="G10" s="31">
        <v>1.694</v>
      </c>
      <c r="H10" s="31">
        <v>1.355</v>
      </c>
      <c r="I10" s="31">
        <v>1.2130000000000001</v>
      </c>
      <c r="J10" s="31">
        <v>1.0960000000000001</v>
      </c>
      <c r="K10" s="32">
        <v>0.98899999999999999</v>
      </c>
      <c r="L10" s="33" t="s">
        <v>38</v>
      </c>
      <c r="M10" s="31">
        <f>0.0227*1.125+0</f>
        <v>2.5537500000000001E-2</v>
      </c>
      <c r="N10" s="31">
        <f>0.0227*1.125+0.0127</f>
        <v>3.8237500000000001E-2</v>
      </c>
      <c r="O10" s="31">
        <f>0.0227*1.125+0.0557</f>
        <v>8.1237500000000004E-2</v>
      </c>
      <c r="P10" s="31">
        <f>0.0227*1.125+0.1017</f>
        <v>0.1272375</v>
      </c>
      <c r="Q10" s="31">
        <f>0.0227*1.125+0.1435</f>
        <v>0.16903749999999998</v>
      </c>
      <c r="R10" s="31">
        <f>0.0227*1.125+0.1699</f>
        <v>0.19543749999999999</v>
      </c>
      <c r="S10" s="31">
        <f>0.0227*1.125+0.5137</f>
        <v>0.53923750000000004</v>
      </c>
      <c r="T10" s="31">
        <f>0.0227*1.125+0.5941</f>
        <v>0.61963749999999995</v>
      </c>
      <c r="U10" s="34">
        <f>0.0227*1.125+0.6789</f>
        <v>0.70443749999999994</v>
      </c>
      <c r="V10" s="34">
        <f>0.0227*1.125+0.7653</f>
        <v>0.79083749999999997</v>
      </c>
    </row>
    <row r="11" spans="1:22" ht="15" customHeight="1" x14ac:dyDescent="0.25">
      <c r="A11" s="30" t="s">
        <v>39</v>
      </c>
      <c r="B11" s="31">
        <v>0.83299999999999996</v>
      </c>
      <c r="C11" s="31">
        <v>1.2729999999999999</v>
      </c>
      <c r="D11" s="31">
        <v>1.5960000000000001</v>
      </c>
      <c r="E11" s="31">
        <v>1.776</v>
      </c>
      <c r="F11" s="31">
        <v>1.8560000000000001</v>
      </c>
      <c r="G11" s="31">
        <v>1.722</v>
      </c>
      <c r="H11" s="31">
        <v>1.37</v>
      </c>
      <c r="I11" s="31">
        <v>1.2250000000000001</v>
      </c>
      <c r="J11" s="31">
        <v>1.105</v>
      </c>
      <c r="K11" s="32">
        <v>0.996</v>
      </c>
      <c r="L11" s="33" t="s">
        <v>39</v>
      </c>
      <c r="M11" s="31">
        <f>0.0484*1.125+0</f>
        <v>5.4449999999999998E-2</v>
      </c>
      <c r="N11" s="31">
        <f>0.0484*1.125+0.0053</f>
        <v>5.9749999999999998E-2</v>
      </c>
      <c r="O11" s="31">
        <f>0.0484*1.125+0.0429</f>
        <v>9.7349999999999992E-2</v>
      </c>
      <c r="P11" s="31">
        <f>0.0484*1.125+0.085</f>
        <v>0.13945000000000002</v>
      </c>
      <c r="Q11" s="31">
        <f>0.0484*1.125+0.1452</f>
        <v>0.19964999999999999</v>
      </c>
      <c r="R11" s="31">
        <f>0.0484*1.125+0.1965</f>
        <v>0.25095000000000001</v>
      </c>
      <c r="S11" s="31">
        <f>0.0484*1.125+0.5044</f>
        <v>0.55884999999999996</v>
      </c>
      <c r="T11" s="31">
        <f>0.0484*1.125+0.5839</f>
        <v>0.63834999999999997</v>
      </c>
      <c r="U11" s="34">
        <f>0.0484*1.125+0.6677</f>
        <v>0.72214999999999996</v>
      </c>
      <c r="V11" s="34">
        <f>0.0484*1.125+0.753</f>
        <v>0.80745</v>
      </c>
    </row>
    <row r="12" spans="1:22" ht="15" customHeight="1" x14ac:dyDescent="0.25">
      <c r="A12" s="30" t="s">
        <v>40</v>
      </c>
      <c r="B12" s="31">
        <v>0.93600000000000005</v>
      </c>
      <c r="C12" s="31">
        <v>1.371</v>
      </c>
      <c r="D12" s="31">
        <v>1.6739999999999999</v>
      </c>
      <c r="E12" s="31">
        <v>1.8140000000000001</v>
      </c>
      <c r="F12" s="31">
        <v>1.881</v>
      </c>
      <c r="G12" s="31">
        <v>1.7490000000000001</v>
      </c>
      <c r="H12" s="31">
        <v>1.385</v>
      </c>
      <c r="I12" s="31">
        <v>1.2370000000000001</v>
      </c>
      <c r="J12" s="31">
        <v>1.1140000000000001</v>
      </c>
      <c r="K12" s="32">
        <v>1.0029999999999999</v>
      </c>
      <c r="L12" s="33" t="s">
        <v>40</v>
      </c>
      <c r="M12" s="31">
        <f>0.0719*1.125+0.0022</f>
        <v>8.3087499999999995E-2</v>
      </c>
      <c r="N12" s="31">
        <f>0.0719*1.125+0</f>
        <v>8.0887500000000001E-2</v>
      </c>
      <c r="O12" s="31">
        <f>0.0719*1.125+0.0323</f>
        <v>0.1131875</v>
      </c>
      <c r="P12" s="31">
        <f>0.0719*1.125+0.0706</f>
        <v>0.1514875</v>
      </c>
      <c r="Q12" s="31">
        <f>0.0719*1.125+0.1492</f>
        <v>0.2300875</v>
      </c>
      <c r="R12" s="31">
        <f>0.0719*1.125+0.2253</f>
        <v>0.3061875</v>
      </c>
      <c r="S12" s="31">
        <f>0.0719*1.125+0.4973</f>
        <v>0.57818750000000008</v>
      </c>
      <c r="T12" s="31">
        <f>0.0719*1.125+0.5759</f>
        <v>0.65678749999999997</v>
      </c>
      <c r="U12" s="34">
        <f>0.0719*1.125+0.6587</f>
        <v>0.73958749999999995</v>
      </c>
      <c r="V12" s="34">
        <f>0.0719*1.125+0.7428</f>
        <v>0.82368750000000002</v>
      </c>
    </row>
    <row r="13" spans="1:22" ht="15" customHeight="1" x14ac:dyDescent="0.25">
      <c r="A13" s="30" t="s">
        <v>41</v>
      </c>
      <c r="B13" s="31">
        <v>1.032</v>
      </c>
      <c r="C13" s="31">
        <v>1.462</v>
      </c>
      <c r="D13" s="31">
        <v>1.748</v>
      </c>
      <c r="E13" s="31">
        <v>1.8540000000000001</v>
      </c>
      <c r="F13" s="31">
        <v>1.9039999999999999</v>
      </c>
      <c r="G13" s="31">
        <v>1.772</v>
      </c>
      <c r="H13" s="31">
        <v>1.3979999999999999</v>
      </c>
      <c r="I13" s="31">
        <v>1.2470000000000001</v>
      </c>
      <c r="J13" s="31">
        <v>1.1220000000000001</v>
      </c>
      <c r="K13" s="32">
        <v>1.01</v>
      </c>
      <c r="L13" s="33" t="s">
        <v>41</v>
      </c>
      <c r="M13" s="31">
        <f>0.0671*1.125+0.001</f>
        <v>7.6487500000000014E-2</v>
      </c>
      <c r="N13" s="31">
        <f>0.0671*1.125+0</f>
        <v>7.5487500000000013E-2</v>
      </c>
      <c r="O13" s="31">
        <f>0.0671*1.125+0.0297</f>
        <v>0.10518750000000002</v>
      </c>
      <c r="P13" s="31">
        <f>0.0671*1.125+0.0677</f>
        <v>0.14318750000000002</v>
      </c>
      <c r="Q13" s="31">
        <f>0.0671*1.125+0.1448</f>
        <v>0.22028750000000002</v>
      </c>
      <c r="R13" s="31">
        <f>0.0671*1.125+0.2116</f>
        <v>0.28708750000000005</v>
      </c>
      <c r="S13" s="31">
        <f>0.0671*1.125+0.5182</f>
        <v>0.59368750000000003</v>
      </c>
      <c r="T13" s="31">
        <f>0.0671*1.125+0.596</f>
        <v>0.67148750000000001</v>
      </c>
      <c r="U13" s="34">
        <f>0.0671*1.125+0.6778</f>
        <v>0.7532875</v>
      </c>
      <c r="V13" s="34">
        <f>0.0671*1.125+0.7608</f>
        <v>0.83628750000000007</v>
      </c>
    </row>
    <row r="14" spans="1:22" ht="15" customHeight="1" x14ac:dyDescent="0.25">
      <c r="A14" s="30" t="s">
        <v>42</v>
      </c>
      <c r="B14" s="31">
        <v>1.129</v>
      </c>
      <c r="C14" s="31">
        <v>1.554</v>
      </c>
      <c r="D14" s="31">
        <v>1.821</v>
      </c>
      <c r="E14" s="31">
        <v>1.8939999999999999</v>
      </c>
      <c r="F14" s="31">
        <v>1.927</v>
      </c>
      <c r="G14" s="31">
        <v>1.796</v>
      </c>
      <c r="H14" s="31">
        <v>1.4119999999999999</v>
      </c>
      <c r="I14" s="31">
        <v>1.2569999999999999</v>
      </c>
      <c r="J14" s="31">
        <v>1.1299999999999999</v>
      </c>
      <c r="K14" s="32">
        <v>1.016</v>
      </c>
      <c r="L14" s="33" t="s">
        <v>42</v>
      </c>
      <c r="M14" s="31">
        <f>0.0622*1.125+0</f>
        <v>6.9974999999999996E-2</v>
      </c>
      <c r="N14" s="31">
        <f>0.0622*1.125+0.0001</f>
        <v>7.0074999999999998E-2</v>
      </c>
      <c r="O14" s="31">
        <f>0.0622*1.125+0.0272</f>
        <v>9.7174999999999997E-2</v>
      </c>
      <c r="P14" s="31">
        <f>0.0622*1.125+0.0649</f>
        <v>0.13487499999999999</v>
      </c>
      <c r="Q14" s="31">
        <f>0.0622*1.125+0.1405</f>
        <v>0.21047500000000002</v>
      </c>
      <c r="R14" s="31">
        <f>0.0622*1.125+0.198</f>
        <v>0.26797500000000002</v>
      </c>
      <c r="S14" s="31">
        <f>0.0622*1.125+0.5393</f>
        <v>0.60927500000000001</v>
      </c>
      <c r="T14" s="31">
        <f>0.0622*1.125+0.6162</f>
        <v>0.68617499999999998</v>
      </c>
      <c r="U14" s="34">
        <f>0.0622*1.125+0.697</f>
        <v>0.76697499999999996</v>
      </c>
      <c r="V14" s="34">
        <f>0.0622*1.125+0.7789</f>
        <v>0.84887500000000005</v>
      </c>
    </row>
    <row r="15" spans="1:22" ht="15" customHeight="1" x14ac:dyDescent="0.25">
      <c r="A15" s="30" t="s">
        <v>43</v>
      </c>
      <c r="B15" s="31">
        <v>1.218</v>
      </c>
      <c r="C15" s="31">
        <v>1.631</v>
      </c>
      <c r="D15" s="31">
        <v>1.887</v>
      </c>
      <c r="E15" s="31">
        <v>1.946</v>
      </c>
      <c r="F15" s="31">
        <v>1.9490000000000001</v>
      </c>
      <c r="G15" s="31">
        <v>1.821</v>
      </c>
      <c r="H15" s="31">
        <v>1.4339999999999999</v>
      </c>
      <c r="I15" s="31">
        <v>1.274</v>
      </c>
      <c r="J15" s="31">
        <v>1.143</v>
      </c>
      <c r="K15" s="32">
        <v>1.026</v>
      </c>
      <c r="L15" s="33" t="s">
        <v>43</v>
      </c>
      <c r="M15" s="31">
        <f>0.0562*1.125+0</f>
        <v>6.3225000000000003E-2</v>
      </c>
      <c r="N15" s="31">
        <f>0.0562*1.125+0.0007</f>
        <v>6.392500000000001E-2</v>
      </c>
      <c r="O15" s="31">
        <f>0.0562*1.125+0.026</f>
        <v>8.9224999999999999E-2</v>
      </c>
      <c r="P15" s="31">
        <f>0.0562*1.125+0.0667</f>
        <v>0.12992500000000001</v>
      </c>
      <c r="Q15" s="31">
        <f>0.0562*1.125+0.1401</f>
        <v>0.20332500000000001</v>
      </c>
      <c r="R15" s="31">
        <f>0.0562*1.125+0.3371</f>
        <v>0.40032500000000004</v>
      </c>
      <c r="S15" s="31">
        <f>0.0562*1.125+0.5292</f>
        <v>0.59242499999999998</v>
      </c>
      <c r="T15" s="31">
        <f>0.0562*1.125+0.6069</f>
        <v>0.67012499999999997</v>
      </c>
      <c r="U15" s="34">
        <f>0.0562*1.125+0.6887</f>
        <v>0.75192499999999995</v>
      </c>
      <c r="V15" s="34">
        <f>0.0562*1.125+0.7717</f>
        <v>0.83492500000000003</v>
      </c>
    </row>
    <row r="16" spans="1:22" ht="15" customHeight="1" x14ac:dyDescent="0.25">
      <c r="A16" s="30" t="s">
        <v>44</v>
      </c>
      <c r="B16" s="31">
        <v>1.3069999999999999</v>
      </c>
      <c r="C16" s="31">
        <v>1.7090000000000001</v>
      </c>
      <c r="D16" s="31">
        <v>1.954</v>
      </c>
      <c r="E16" s="31">
        <v>1.9970000000000001</v>
      </c>
      <c r="F16" s="31">
        <v>1.9710000000000001</v>
      </c>
      <c r="G16" s="31">
        <v>1.8460000000000001</v>
      </c>
      <c r="H16" s="31">
        <v>1.456</v>
      </c>
      <c r="I16" s="31">
        <v>1.292</v>
      </c>
      <c r="J16" s="31">
        <v>1.157</v>
      </c>
      <c r="K16" s="32">
        <v>1.036</v>
      </c>
      <c r="L16" s="33" t="s">
        <v>44</v>
      </c>
      <c r="M16" s="31">
        <f>0.0503*1.125+0</f>
        <v>5.6587499999999999E-2</v>
      </c>
      <c r="N16" s="31">
        <f>0.0503*1.125+0.0013</f>
        <v>5.7887500000000001E-2</v>
      </c>
      <c r="O16" s="31">
        <f>0.0503*1.125+0.0248</f>
        <v>8.1387500000000002E-2</v>
      </c>
      <c r="P16" s="31">
        <f>0.0503*1.125+0.0684</f>
        <v>0.1249875</v>
      </c>
      <c r="Q16" s="31">
        <f>0.0503*1.125+0.1397</f>
        <v>0.1962875</v>
      </c>
      <c r="R16" s="31">
        <f>0.0503*1.125+0.4763</f>
        <v>0.53288749999999996</v>
      </c>
      <c r="S16" s="31">
        <f>0.0503*1.125+0.5191</f>
        <v>0.57568750000000002</v>
      </c>
      <c r="T16" s="31">
        <f>0.0503*1.125+0.5977</f>
        <v>0.65428750000000002</v>
      </c>
      <c r="U16" s="34">
        <f>0.0503*1.125+0.6805</f>
        <v>0.73708750000000001</v>
      </c>
      <c r="V16" s="34">
        <f>0.0503*1.125+0.7646</f>
        <v>0.82118749999999996</v>
      </c>
    </row>
    <row r="17" spans="1:22" ht="15" customHeight="1" x14ac:dyDescent="0.25">
      <c r="A17" s="30" t="s">
        <v>45</v>
      </c>
      <c r="B17" s="31">
        <v>1.38</v>
      </c>
      <c r="C17" s="31">
        <v>1.776</v>
      </c>
      <c r="D17" s="31">
        <v>2.0099999999999998</v>
      </c>
      <c r="E17" s="31">
        <v>2.044</v>
      </c>
      <c r="F17" s="31">
        <v>1.9930000000000001</v>
      </c>
      <c r="G17" s="31">
        <v>1.8580000000000001</v>
      </c>
      <c r="H17" s="31">
        <v>1.464</v>
      </c>
      <c r="I17" s="31">
        <v>1.2989999999999999</v>
      </c>
      <c r="J17" s="31">
        <v>1.1619999999999999</v>
      </c>
      <c r="K17" s="32">
        <v>1.04</v>
      </c>
      <c r="L17" s="33" t="s">
        <v>45</v>
      </c>
      <c r="M17" s="31">
        <f>0.0443*1.125+0</f>
        <v>4.98375E-2</v>
      </c>
      <c r="N17" s="31">
        <f>0.0443*1.125+0.0024</f>
        <v>5.2237499999999999E-2</v>
      </c>
      <c r="O17" s="31">
        <f>0.0443*1.125+0.0244</f>
        <v>7.4237499999999998E-2</v>
      </c>
      <c r="P17" s="31">
        <f>0.0443*1.125+0.0721</f>
        <v>0.1219375</v>
      </c>
      <c r="Q17" s="31">
        <f>0.0443*1.125+0.1428</f>
        <v>0.19263750000000002</v>
      </c>
      <c r="R17" s="31">
        <f>0.0443*1.125+0.5</f>
        <v>0.54983749999999998</v>
      </c>
      <c r="S17" s="31">
        <f>0.0443*1.125+0.5437</f>
        <v>0.59353749999999994</v>
      </c>
      <c r="T17" s="31">
        <f>0.0443*1.125+0.6213</f>
        <v>0.67113749999999994</v>
      </c>
      <c r="U17" s="34">
        <f>0.0443*1.125+0.7029</f>
        <v>0.75273749999999995</v>
      </c>
      <c r="V17" s="34">
        <f>0.0443*1.125+0.7857</f>
        <v>0.83553749999999993</v>
      </c>
    </row>
    <row r="18" spans="1:22" ht="15" customHeight="1" x14ac:dyDescent="0.25">
      <c r="A18" s="30" t="s">
        <v>46</v>
      </c>
      <c r="B18" s="31">
        <v>1.4530000000000001</v>
      </c>
      <c r="C18" s="31">
        <v>1.843</v>
      </c>
      <c r="D18" s="31">
        <v>2.0649999999999999</v>
      </c>
      <c r="E18" s="31">
        <v>2.09</v>
      </c>
      <c r="F18" s="31">
        <v>2.016</v>
      </c>
      <c r="G18" s="31">
        <v>1.869</v>
      </c>
      <c r="H18" s="31">
        <v>1.4730000000000001</v>
      </c>
      <c r="I18" s="31">
        <v>1.3049999999999999</v>
      </c>
      <c r="J18" s="31">
        <v>1.167</v>
      </c>
      <c r="K18" s="32">
        <v>1.044</v>
      </c>
      <c r="L18" s="33" t="s">
        <v>46</v>
      </c>
      <c r="M18" s="31">
        <f>0.0384*1.125+0</f>
        <v>4.3199999999999995E-2</v>
      </c>
      <c r="N18" s="31">
        <f>0.0384*1.125+0.0036</f>
        <v>4.6799999999999994E-2</v>
      </c>
      <c r="O18" s="31">
        <f>0.0384*1.125+0.0241</f>
        <v>6.7299999999999999E-2</v>
      </c>
      <c r="P18" s="31">
        <f>0.0384*1.125+0.0757</f>
        <v>0.11890000000000001</v>
      </c>
      <c r="Q18" s="31">
        <f>0.0384*1.125+0.146</f>
        <v>0.18919999999999998</v>
      </c>
      <c r="R18" s="31">
        <f>0.0384*1.125+0.5238</f>
        <v>0.56700000000000006</v>
      </c>
      <c r="S18" s="31">
        <f>0.0384*1.125+0.5682</f>
        <v>0.61140000000000005</v>
      </c>
      <c r="T18" s="31">
        <f>0.0384*1.125+0.6448</f>
        <v>0.68800000000000006</v>
      </c>
      <c r="U18" s="34">
        <f>0.0384*1.125+0.7253</f>
        <v>0.76849999999999996</v>
      </c>
      <c r="V18" s="34">
        <f>0.0384*1.125+0.8069</f>
        <v>0.85009999999999997</v>
      </c>
    </row>
    <row r="19" spans="1:22" ht="15" customHeight="1" x14ac:dyDescent="0.25">
      <c r="A19" s="30" t="s">
        <v>47</v>
      </c>
      <c r="B19" s="31">
        <v>1.526</v>
      </c>
      <c r="C19" s="31">
        <v>1.91</v>
      </c>
      <c r="D19" s="31">
        <v>2.121</v>
      </c>
      <c r="E19" s="31">
        <v>2.137</v>
      </c>
      <c r="F19" s="31">
        <v>2.0379999999999998</v>
      </c>
      <c r="G19" s="31">
        <v>1.881</v>
      </c>
      <c r="H19" s="31">
        <v>1.4810000000000001</v>
      </c>
      <c r="I19" s="31">
        <v>1.3120000000000001</v>
      </c>
      <c r="J19" s="31">
        <v>1.1719999999999999</v>
      </c>
      <c r="K19" s="32">
        <v>1.048</v>
      </c>
      <c r="L19" s="33" t="s">
        <v>47</v>
      </c>
      <c r="M19" s="31">
        <f>0.0324*1.125+0</f>
        <v>3.6449999999999996E-2</v>
      </c>
      <c r="N19" s="31">
        <f>0.0324*1.125+0.0047</f>
        <v>4.1149999999999999E-2</v>
      </c>
      <c r="O19" s="31">
        <f>0.0324*1.125+0.0237</f>
        <v>6.0149999999999995E-2</v>
      </c>
      <c r="P19" s="31">
        <f>0.0324*1.125+0.0794</f>
        <v>0.11584999999999999</v>
      </c>
      <c r="Q19" s="31">
        <f>0.0324*1.125+0.1491</f>
        <v>0.18554999999999999</v>
      </c>
      <c r="R19" s="31">
        <f>0.0324*1.125+0.5475</f>
        <v>0.58394999999999997</v>
      </c>
      <c r="S19" s="31">
        <f>0.0324*1.125+0.5928</f>
        <v>0.62924999999999998</v>
      </c>
      <c r="T19" s="31">
        <f>0.0324*1.125+0.6684</f>
        <v>0.70484999999999998</v>
      </c>
      <c r="U19" s="34">
        <f>0.0324*1.125+0.7477</f>
        <v>0.78415000000000001</v>
      </c>
      <c r="V19" s="34">
        <f>0.0324*1.125+0.828</f>
        <v>0.86444999999999994</v>
      </c>
    </row>
    <row r="22" spans="1:22" ht="15" customHeight="1" x14ac:dyDescent="0.25">
      <c r="A22" s="35"/>
    </row>
    <row r="23" spans="1:22" ht="15" customHeight="1" x14ac:dyDescent="0.25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</row>
    <row r="24" spans="1:22" ht="15" customHeight="1" x14ac:dyDescent="0.25">
      <c r="A24" s="37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</row>
    <row r="25" spans="1:22" ht="15" customHeight="1" x14ac:dyDescent="0.25">
      <c r="A25" s="37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</row>
    <row r="26" spans="1:22" ht="15" customHeight="1" x14ac:dyDescent="0.25">
      <c r="A26" s="37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</row>
    <row r="27" spans="1:22" ht="15" customHeight="1" x14ac:dyDescent="0.25">
      <c r="A27" s="37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</row>
    <row r="28" spans="1:22" ht="15" customHeight="1" x14ac:dyDescent="0.25">
      <c r="A28" s="37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</row>
    <row r="29" spans="1:22" ht="15" customHeight="1" x14ac:dyDescent="0.25">
      <c r="A29" s="37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</row>
    <row r="30" spans="1:22" ht="15" customHeight="1" x14ac:dyDescent="0.25">
      <c r="A30" s="37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</row>
    <row r="31" spans="1:22" ht="15" customHeight="1" x14ac:dyDescent="0.25">
      <c r="A31" s="37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</row>
    <row r="32" spans="1:22" ht="15" customHeight="1" x14ac:dyDescent="0.25">
      <c r="A32" s="37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</row>
    <row r="33" spans="1:16" ht="15" customHeight="1" x14ac:dyDescent="0.25">
      <c r="A33" s="37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</row>
    <row r="34" spans="1:16" ht="15" customHeight="1" x14ac:dyDescent="0.25">
      <c r="A34" s="37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</row>
    <row r="35" spans="1:16" ht="15" customHeight="1" x14ac:dyDescent="0.25">
      <c r="A35" s="37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</row>
    <row r="36" spans="1:16" ht="15" customHeight="1" x14ac:dyDescent="0.25">
      <c r="A36" s="37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</row>
    <row r="37" spans="1:16" ht="15" customHeight="1" x14ac:dyDescent="0.25">
      <c r="A37" s="37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</row>
    <row r="38" spans="1:16" ht="15" customHeight="1" x14ac:dyDescent="0.25">
      <c r="A38" s="37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</row>
    <row r="39" spans="1:16" ht="15" customHeight="1" x14ac:dyDescent="0.25">
      <c r="A39" s="37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</row>
    <row r="40" spans="1:16" ht="15" customHeight="1" x14ac:dyDescent="0.25">
      <c r="A40" s="37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</row>
    <row r="41" spans="1:16" ht="15" customHeight="1" x14ac:dyDescent="0.25">
      <c r="A41" s="37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</row>
    <row r="42" spans="1:16" ht="15" customHeight="1" x14ac:dyDescent="0.25">
      <c r="A42" s="37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</row>
    <row r="43" spans="1:16" ht="15" customHeight="1" x14ac:dyDescent="0.25">
      <c r="A43" s="37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</row>
    <row r="44" spans="1:16" ht="15" customHeight="1" x14ac:dyDescent="0.25">
      <c r="A44" s="37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</row>
    <row r="45" spans="1:16" ht="15" customHeight="1" x14ac:dyDescent="0.25">
      <c r="A45" s="37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</row>
    <row r="46" spans="1:16" ht="15" customHeight="1" x14ac:dyDescent="0.25">
      <c r="A46" s="37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</row>
    <row r="47" spans="1:16" ht="15" customHeight="1" x14ac:dyDescent="0.25">
      <c r="A47" s="37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</row>
    <row r="48" spans="1:16" ht="15" customHeight="1" x14ac:dyDescent="0.25">
      <c r="A48" s="37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</row>
    <row r="49" spans="1:16" ht="15" customHeight="1" x14ac:dyDescent="0.25">
      <c r="A49" s="37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</row>
    <row r="50" spans="1:16" ht="15" customHeight="1" x14ac:dyDescent="0.25">
      <c r="A50" s="37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</row>
    <row r="51" spans="1:16" ht="15" customHeight="1" x14ac:dyDescent="0.25">
      <c r="A51" s="37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</row>
    <row r="52" spans="1:16" ht="15" customHeight="1" x14ac:dyDescent="0.25">
      <c r="A52" s="37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</row>
    <row r="53" spans="1:16" ht="15" customHeight="1" x14ac:dyDescent="0.25">
      <c r="A53" s="37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</row>
    <row r="54" spans="1:16" ht="15" customHeight="1" x14ac:dyDescent="0.25">
      <c r="A54" s="37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</row>
    <row r="55" spans="1:16" ht="15" customHeight="1" x14ac:dyDescent="0.25">
      <c r="A55" s="37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</row>
    <row r="56" spans="1:16" ht="15" customHeight="1" x14ac:dyDescent="0.25">
      <c r="A56" s="37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</row>
    <row r="57" spans="1:16" ht="15" customHeight="1" x14ac:dyDescent="0.25">
      <c r="A57" s="37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</row>
    <row r="58" spans="1:16" ht="15" customHeight="1" x14ac:dyDescent="0.25">
      <c r="A58" s="37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</row>
    <row r="59" spans="1:16" ht="15" customHeight="1" x14ac:dyDescent="0.25">
      <c r="A59" s="37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</row>
    <row r="60" spans="1:16" ht="15" customHeight="1" x14ac:dyDescent="0.25">
      <c r="A60" s="37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</row>
    <row r="61" spans="1:16" ht="15" customHeight="1" x14ac:dyDescent="0.25">
      <c r="A61" s="37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</row>
    <row r="62" spans="1:16" ht="15" customHeight="1" x14ac:dyDescent="0.25">
      <c r="A62" s="37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</row>
    <row r="63" spans="1:16" ht="15" customHeight="1" x14ac:dyDescent="0.25">
      <c r="A63" s="37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</row>
    <row r="64" spans="1:16" ht="15" customHeight="1" x14ac:dyDescent="0.25">
      <c r="A64" s="37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</row>
    <row r="65" spans="1:16" ht="15" customHeight="1" x14ac:dyDescent="0.25">
      <c r="A65" s="37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</row>
    <row r="66" spans="1:16" ht="15" customHeight="1" x14ac:dyDescent="0.25">
      <c r="A66" s="37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</row>
    <row r="67" spans="1:16" ht="15" customHeight="1" x14ac:dyDescent="0.25">
      <c r="A67" s="37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</row>
    <row r="68" spans="1:16" ht="15" customHeight="1" x14ac:dyDescent="0.25">
      <c r="A68" s="37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</row>
    <row r="69" spans="1:16" ht="15" customHeight="1" x14ac:dyDescent="0.25">
      <c r="A69" s="37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</row>
  </sheetData>
  <conditionalFormatting sqref="B4:K19">
    <cfRule type="colorScale" priority="2">
      <colorScale>
        <cfvo type="min"/>
        <cfvo type="percentile" val="50"/>
        <cfvo type="max"/>
        <color rgb="FFEBF5FB"/>
        <color rgb="FF2980B9"/>
        <color rgb="FF1A5276"/>
      </colorScale>
    </cfRule>
  </conditionalFormatting>
  <conditionalFormatting sqref="M4:V19">
    <cfRule type="colorScale" priority="3">
      <colorScale>
        <cfvo type="min"/>
        <cfvo type="percentile" val="50"/>
        <cfvo type="max"/>
        <color rgb="FFE9F7EF"/>
        <color rgb="FFF39C12"/>
        <color rgb="FF922B21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69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7109375" defaultRowHeight="15" x14ac:dyDescent="0.25"/>
  <cols>
    <col min="1" max="1" width="8" style="1" customWidth="1"/>
    <col min="2" max="17" width="7" style="1" customWidth="1"/>
    <col min="18" max="22" width="8" style="1" customWidth="1"/>
  </cols>
  <sheetData>
    <row r="1" spans="1:22" ht="19.5" customHeight="1" x14ac:dyDescent="0.25">
      <c r="A1" s="25" t="s">
        <v>52</v>
      </c>
    </row>
    <row r="2" spans="1:22" ht="15" customHeight="1" x14ac:dyDescent="0.25">
      <c r="B2" s="26" t="s">
        <v>19</v>
      </c>
      <c r="L2" s="27"/>
      <c r="M2" s="11" t="s">
        <v>20</v>
      </c>
    </row>
    <row r="3" spans="1:22" ht="15" customHeight="1" x14ac:dyDescent="0.25">
      <c r="A3" s="28" t="s">
        <v>21</v>
      </c>
      <c r="B3" s="28" t="s">
        <v>22</v>
      </c>
      <c r="C3" s="28" t="s">
        <v>23</v>
      </c>
      <c r="D3" s="28" t="s">
        <v>24</v>
      </c>
      <c r="E3" s="28" t="s">
        <v>25</v>
      </c>
      <c r="F3" s="28" t="s">
        <v>26</v>
      </c>
      <c r="G3" s="28" t="s">
        <v>27</v>
      </c>
      <c r="H3" s="28" t="s">
        <v>28</v>
      </c>
      <c r="I3" s="28" t="s">
        <v>29</v>
      </c>
      <c r="J3" s="28" t="s">
        <v>30</v>
      </c>
      <c r="K3" s="29" t="s">
        <v>31</v>
      </c>
      <c r="L3" s="28" t="s">
        <v>21</v>
      </c>
      <c r="M3" s="28" t="s">
        <v>22</v>
      </c>
      <c r="N3" s="28" t="s">
        <v>23</v>
      </c>
      <c r="O3" s="28" t="s">
        <v>24</v>
      </c>
      <c r="P3" s="28" t="s">
        <v>25</v>
      </c>
      <c r="Q3" s="28" t="s">
        <v>26</v>
      </c>
      <c r="R3" s="28" t="s">
        <v>27</v>
      </c>
      <c r="S3" s="28" t="s">
        <v>28</v>
      </c>
      <c r="T3" s="28" t="s">
        <v>29</v>
      </c>
      <c r="U3" s="29" t="s">
        <v>30</v>
      </c>
      <c r="V3" s="29" t="s">
        <v>31</v>
      </c>
    </row>
    <row r="4" spans="1:22" ht="15" customHeight="1" x14ac:dyDescent="0.25">
      <c r="A4" s="30" t="s">
        <v>32</v>
      </c>
      <c r="B4" s="31">
        <v>0</v>
      </c>
      <c r="C4" s="31">
        <v>0.52700000000000002</v>
      </c>
      <c r="D4" s="31">
        <v>1.022</v>
      </c>
      <c r="E4" s="31">
        <v>1.407</v>
      </c>
      <c r="F4" s="31">
        <v>1.6180000000000001</v>
      </c>
      <c r="G4" s="31">
        <v>1.4370000000000001</v>
      </c>
      <c r="H4" s="31">
        <v>1.2310000000000001</v>
      </c>
      <c r="I4" s="31">
        <v>1.117</v>
      </c>
      <c r="J4" s="31">
        <v>1.02</v>
      </c>
      <c r="K4" s="32">
        <v>0.93100000000000005</v>
      </c>
      <c r="L4" s="33" t="s">
        <v>32</v>
      </c>
      <c r="M4" s="31">
        <f>0.01*1.084+0</f>
        <v>1.0840000000000001E-2</v>
      </c>
      <c r="N4" s="31">
        <f>0.01*1.084+0.0257</f>
        <v>3.6540000000000003E-2</v>
      </c>
      <c r="O4" s="31">
        <f>0.01*1.084+0.0966</f>
        <v>0.10744000000000001</v>
      </c>
      <c r="P4" s="31">
        <f>0.01*1.084+0.183</f>
        <v>0.19383999999999998</v>
      </c>
      <c r="Q4" s="31">
        <f>0.01*1.084+0.2421</f>
        <v>0.25294</v>
      </c>
      <c r="R4" s="31">
        <f>0.01*1.084+0.1909</f>
        <v>0.20173999999999997</v>
      </c>
      <c r="S4" s="31">
        <f>0.01*1.084+0.418</f>
        <v>0.42884</v>
      </c>
      <c r="T4" s="31">
        <f>0.01*1.084+0.5043</f>
        <v>0.51513999999999993</v>
      </c>
      <c r="U4" s="34">
        <f>0.01*1.084+0.5957</f>
        <v>0.60653999999999997</v>
      </c>
      <c r="V4" s="34">
        <f>0.01*1.084+0.6894</f>
        <v>0.70023999999999997</v>
      </c>
    </row>
    <row r="5" spans="1:22" ht="15" customHeight="1" x14ac:dyDescent="0.25">
      <c r="A5" s="30" t="s">
        <v>33</v>
      </c>
      <c r="B5" s="31">
        <v>0.126</v>
      </c>
      <c r="C5" s="31">
        <v>0.64700000000000002</v>
      </c>
      <c r="D5" s="31">
        <v>1.109</v>
      </c>
      <c r="E5" s="31">
        <v>1.47</v>
      </c>
      <c r="F5" s="31">
        <v>1.661</v>
      </c>
      <c r="G5" s="31">
        <v>1.49</v>
      </c>
      <c r="H5" s="31">
        <v>1.256</v>
      </c>
      <c r="I5" s="31">
        <v>1.1359999999999999</v>
      </c>
      <c r="J5" s="31">
        <v>1.0349999999999999</v>
      </c>
      <c r="K5" s="32">
        <v>0.94299999999999995</v>
      </c>
      <c r="L5" s="33" t="s">
        <v>33</v>
      </c>
      <c r="M5" s="31">
        <f>0.0121*1.084+0</f>
        <v>1.31164E-2</v>
      </c>
      <c r="N5" s="31">
        <f>0.0121*1.084+0.0242</f>
        <v>3.73164E-2</v>
      </c>
      <c r="O5" s="31">
        <f>0.0121*1.084+0.0892</f>
        <v>0.1023164</v>
      </c>
      <c r="P5" s="31">
        <f>0.0121*1.084+0.1688</f>
        <v>0.18191640000000001</v>
      </c>
      <c r="Q5" s="31">
        <f>0.0121*1.084+0.2238</f>
        <v>0.2369164</v>
      </c>
      <c r="R5" s="31">
        <f>0.0121*1.084+0.1865</f>
        <v>0.1996164</v>
      </c>
      <c r="S5" s="31">
        <f>0.0121*1.084+0.4328</f>
        <v>0.44591639999999999</v>
      </c>
      <c r="T5" s="31">
        <f>0.0121*1.084+0.5182</f>
        <v>0.53131640000000002</v>
      </c>
      <c r="U5" s="34">
        <f>0.0121*1.084+0.6086</f>
        <v>0.62171640000000006</v>
      </c>
      <c r="V5" s="34">
        <f>0.0121*1.084+0.7011</f>
        <v>0.71421639999999997</v>
      </c>
    </row>
    <row r="6" spans="1:22" ht="15" customHeight="1" x14ac:dyDescent="0.25">
      <c r="A6" s="30" t="s">
        <v>34</v>
      </c>
      <c r="B6" s="31">
        <v>0.252</v>
      </c>
      <c r="C6" s="31">
        <v>0.76600000000000001</v>
      </c>
      <c r="D6" s="31">
        <v>1.196</v>
      </c>
      <c r="E6" s="31">
        <v>1.534</v>
      </c>
      <c r="F6" s="31">
        <v>1.704</v>
      </c>
      <c r="G6" s="31">
        <v>1.5429999999999999</v>
      </c>
      <c r="H6" s="31">
        <v>1.2809999999999999</v>
      </c>
      <c r="I6" s="31">
        <v>1.155</v>
      </c>
      <c r="J6" s="31">
        <v>1.05</v>
      </c>
      <c r="K6" s="32">
        <v>0.95399999999999996</v>
      </c>
      <c r="L6" s="33" t="s">
        <v>34</v>
      </c>
      <c r="M6" s="31">
        <f>0.0142*1.084+0</f>
        <v>1.5392800000000002E-2</v>
      </c>
      <c r="N6" s="31">
        <f>0.0142*1.084+0.0226</f>
        <v>3.79928E-2</v>
      </c>
      <c r="O6" s="31">
        <f>0.0142*1.084+0.0818</f>
        <v>9.7192799999999996E-2</v>
      </c>
      <c r="P6" s="31">
        <f>0.0142*1.084+0.1545</f>
        <v>0.16989280000000001</v>
      </c>
      <c r="Q6" s="31">
        <f>0.0142*1.084+0.2054</f>
        <v>0.22079280000000001</v>
      </c>
      <c r="R6" s="31">
        <f>0.0142*1.084+0.1821</f>
        <v>0.19749280000000002</v>
      </c>
      <c r="S6" s="31">
        <f>0.0142*1.084+0.4477</f>
        <v>0.46309279999999997</v>
      </c>
      <c r="T6" s="31">
        <f>0.0142*1.084+0.5321</f>
        <v>0.5474928</v>
      </c>
      <c r="U6" s="34">
        <f>0.0142*1.084+0.6215</f>
        <v>0.63689280000000004</v>
      </c>
      <c r="V6" s="34">
        <f>0.0142*1.084+0.7129</f>
        <v>0.72829279999999996</v>
      </c>
    </row>
    <row r="7" spans="1:22" ht="15" customHeight="1" x14ac:dyDescent="0.25">
      <c r="A7" s="30" t="s">
        <v>35</v>
      </c>
      <c r="B7" s="31">
        <v>0.376</v>
      </c>
      <c r="C7" s="31">
        <v>0.873</v>
      </c>
      <c r="D7" s="31">
        <v>1.278</v>
      </c>
      <c r="E7" s="31">
        <v>1.591</v>
      </c>
      <c r="F7" s="31">
        <v>1.738</v>
      </c>
      <c r="G7" s="31">
        <v>1.585</v>
      </c>
      <c r="H7" s="31">
        <v>1.3009999999999999</v>
      </c>
      <c r="I7" s="31">
        <v>1.171</v>
      </c>
      <c r="J7" s="31">
        <v>1.0620000000000001</v>
      </c>
      <c r="K7" s="32">
        <v>0.96399999999999997</v>
      </c>
      <c r="L7" s="33" t="s">
        <v>35</v>
      </c>
      <c r="M7" s="31">
        <f>0.0163*1.084+0</f>
        <v>1.7669199999999999E-2</v>
      </c>
      <c r="N7" s="31">
        <f>0.0163*1.084+0.0201</f>
        <v>3.7769200000000003E-2</v>
      </c>
      <c r="O7" s="31">
        <f>0.0163*1.084+0.0745</f>
        <v>9.2169199999999993E-2</v>
      </c>
      <c r="P7" s="31">
        <f>0.0163*1.084+0.1407</f>
        <v>0.15836919999999999</v>
      </c>
      <c r="Q7" s="31">
        <f>0.0163*1.084+0.1882</f>
        <v>0.2058692</v>
      </c>
      <c r="R7" s="31">
        <f>0.0163*1.084+0.1778</f>
        <v>0.19546920000000001</v>
      </c>
      <c r="S7" s="31">
        <f>0.0163*1.084+0.4618</f>
        <v>0.47946919999999998</v>
      </c>
      <c r="T7" s="31">
        <f>0.0163*1.084+0.5453</f>
        <v>0.56296920000000006</v>
      </c>
      <c r="U7" s="34">
        <f>0.0163*1.084+0.6338</f>
        <v>0.65146920000000008</v>
      </c>
      <c r="V7" s="34">
        <f>0.0163*1.084+0.724</f>
        <v>0.74166920000000003</v>
      </c>
    </row>
    <row r="8" spans="1:22" ht="15" customHeight="1" x14ac:dyDescent="0.25">
      <c r="A8" s="30" t="s">
        <v>36</v>
      </c>
      <c r="B8" s="31">
        <v>0.499</v>
      </c>
      <c r="C8" s="31">
        <v>0.97899999999999998</v>
      </c>
      <c r="D8" s="31">
        <v>1.36</v>
      </c>
      <c r="E8" s="31">
        <v>1.647</v>
      </c>
      <c r="F8" s="31">
        <v>1.7729999999999999</v>
      </c>
      <c r="G8" s="31">
        <v>1.627</v>
      </c>
      <c r="H8" s="31">
        <v>1.321</v>
      </c>
      <c r="I8" s="31">
        <v>1.1870000000000001</v>
      </c>
      <c r="J8" s="31">
        <v>1.075</v>
      </c>
      <c r="K8" s="32">
        <v>0.97299999999999998</v>
      </c>
      <c r="L8" s="33" t="s">
        <v>36</v>
      </c>
      <c r="M8" s="31">
        <f>0.0185*1.084+0</f>
        <v>2.0053999999999999E-2</v>
      </c>
      <c r="N8" s="31">
        <f>0.0185*1.084+0.0175</f>
        <v>3.7554000000000004E-2</v>
      </c>
      <c r="O8" s="31">
        <f>0.0185*1.084+0.0672</f>
        <v>8.7253999999999998E-2</v>
      </c>
      <c r="P8" s="31">
        <f>0.0185*1.084+0.1269</f>
        <v>0.146954</v>
      </c>
      <c r="Q8" s="31">
        <f>0.0185*1.084+0.171</f>
        <v>0.191054</v>
      </c>
      <c r="R8" s="31">
        <f>0.0185*1.084+0.1735</f>
        <v>0.19355399999999998</v>
      </c>
      <c r="S8" s="31">
        <f>0.0185*1.084+0.4759</f>
        <v>0.49595400000000001</v>
      </c>
      <c r="T8" s="31">
        <f>0.0185*1.084+0.5585</f>
        <v>0.57855400000000001</v>
      </c>
      <c r="U8" s="34">
        <f>0.0185*1.084+0.646</f>
        <v>0.66605400000000003</v>
      </c>
      <c r="V8" s="34">
        <f>0.0185*1.084+0.7351</f>
        <v>0.75515399999999999</v>
      </c>
    </row>
    <row r="9" spans="1:22" ht="15" customHeight="1" x14ac:dyDescent="0.25">
      <c r="A9" s="30" t="s">
        <v>37</v>
      </c>
      <c r="B9" s="31">
        <v>0.61399999999999999</v>
      </c>
      <c r="C9" s="31">
        <v>1.077</v>
      </c>
      <c r="D9" s="31">
        <v>1.44</v>
      </c>
      <c r="E9" s="31">
        <v>1.6919999999999999</v>
      </c>
      <c r="F9" s="31">
        <v>1.8009999999999999</v>
      </c>
      <c r="G9" s="31">
        <v>1.66</v>
      </c>
      <c r="H9" s="31">
        <v>1.3380000000000001</v>
      </c>
      <c r="I9" s="31">
        <v>1.2</v>
      </c>
      <c r="J9" s="31">
        <v>1.0860000000000001</v>
      </c>
      <c r="K9" s="32">
        <v>0.98099999999999998</v>
      </c>
      <c r="L9" s="33" t="s">
        <v>37</v>
      </c>
      <c r="M9" s="31">
        <f>0.0206*1.084+0</f>
        <v>2.23304E-2</v>
      </c>
      <c r="N9" s="31">
        <f>0.0206*1.084+0.0151</f>
        <v>3.7430400000000003E-2</v>
      </c>
      <c r="O9" s="31">
        <f>0.0206*1.084+0.0614</f>
        <v>8.373040000000001E-2</v>
      </c>
      <c r="P9" s="31">
        <f>0.0206*1.084+0.1143</f>
        <v>0.13663039999999999</v>
      </c>
      <c r="Q9" s="31">
        <f>0.0206*1.084+0.1573</f>
        <v>0.1796304</v>
      </c>
      <c r="R9" s="31">
        <f>0.0206*1.084+0.1717</f>
        <v>0.19403039999999999</v>
      </c>
      <c r="S9" s="31">
        <f>0.0206*1.084+0.4948</f>
        <v>0.51713039999999999</v>
      </c>
      <c r="T9" s="31">
        <f>0.0206*1.084+0.5763</f>
        <v>0.59863040000000001</v>
      </c>
      <c r="U9" s="34">
        <f>0.0206*1.084+0.6624</f>
        <v>0.68473039999999996</v>
      </c>
      <c r="V9" s="34">
        <f>0.0206*1.084+0.7502</f>
        <v>0.77253039999999995</v>
      </c>
    </row>
    <row r="10" spans="1:22" ht="15" customHeight="1" x14ac:dyDescent="0.25">
      <c r="A10" s="30" t="s">
        <v>38</v>
      </c>
      <c r="B10" s="31">
        <v>0.72899999999999998</v>
      </c>
      <c r="C10" s="31">
        <v>1.175</v>
      </c>
      <c r="D10" s="31">
        <v>1.5189999999999999</v>
      </c>
      <c r="E10" s="31">
        <v>1.738</v>
      </c>
      <c r="F10" s="31">
        <v>1.83</v>
      </c>
      <c r="G10" s="31">
        <v>1.694</v>
      </c>
      <c r="H10" s="31">
        <v>1.355</v>
      </c>
      <c r="I10" s="31">
        <v>1.2130000000000001</v>
      </c>
      <c r="J10" s="31">
        <v>1.0960000000000001</v>
      </c>
      <c r="K10" s="32">
        <v>0.98899999999999999</v>
      </c>
      <c r="L10" s="33" t="s">
        <v>38</v>
      </c>
      <c r="M10" s="31">
        <f>0.0227*1.084+0</f>
        <v>2.4606800000000002E-2</v>
      </c>
      <c r="N10" s="31">
        <f>0.0227*1.084+0.0127</f>
        <v>3.7306800000000001E-2</v>
      </c>
      <c r="O10" s="31">
        <f>0.0227*1.084+0.0557</f>
        <v>8.0306799999999998E-2</v>
      </c>
      <c r="P10" s="31">
        <f>0.0227*1.084+0.1017</f>
        <v>0.1263068</v>
      </c>
      <c r="Q10" s="31">
        <f>0.0227*1.084+0.1435</f>
        <v>0.1681068</v>
      </c>
      <c r="R10" s="31">
        <f>0.0227*1.084+0.1699</f>
        <v>0.19450680000000001</v>
      </c>
      <c r="S10" s="31">
        <f>0.0227*1.084+0.5137</f>
        <v>0.53830680000000009</v>
      </c>
      <c r="T10" s="31">
        <f>0.0227*1.084+0.5941</f>
        <v>0.6187068</v>
      </c>
      <c r="U10" s="34">
        <f>0.0227*1.084+0.6789</f>
        <v>0.70350679999999999</v>
      </c>
      <c r="V10" s="34">
        <f>0.0227*1.084+0.7653</f>
        <v>0.78990680000000002</v>
      </c>
    </row>
    <row r="11" spans="1:22" ht="15" customHeight="1" x14ac:dyDescent="0.25">
      <c r="A11" s="30" t="s">
        <v>39</v>
      </c>
      <c r="B11" s="31">
        <v>0.83299999999999996</v>
      </c>
      <c r="C11" s="31">
        <v>1.2729999999999999</v>
      </c>
      <c r="D11" s="31">
        <v>1.5960000000000001</v>
      </c>
      <c r="E11" s="31">
        <v>1.776</v>
      </c>
      <c r="F11" s="31">
        <v>1.8560000000000001</v>
      </c>
      <c r="G11" s="31">
        <v>1.722</v>
      </c>
      <c r="H11" s="31">
        <v>1.37</v>
      </c>
      <c r="I11" s="31">
        <v>1.2250000000000001</v>
      </c>
      <c r="J11" s="31">
        <v>1.105</v>
      </c>
      <c r="K11" s="32">
        <v>0.996</v>
      </c>
      <c r="L11" s="33" t="s">
        <v>39</v>
      </c>
      <c r="M11" s="31">
        <f>0.0484*1.084+0</f>
        <v>5.2465600000000001E-2</v>
      </c>
      <c r="N11" s="31">
        <f>0.0484*1.084+0.0053</f>
        <v>5.77656E-2</v>
      </c>
      <c r="O11" s="31">
        <f>0.0484*1.084+0.0429</f>
        <v>9.5365599999999995E-2</v>
      </c>
      <c r="P11" s="31">
        <f>0.0484*1.084+0.085</f>
        <v>0.13746560000000002</v>
      </c>
      <c r="Q11" s="31">
        <f>0.0484*1.084+0.1452</f>
        <v>0.1976656</v>
      </c>
      <c r="R11" s="31">
        <f>0.0484*1.084+0.1965</f>
        <v>0.24896560000000001</v>
      </c>
      <c r="S11" s="31">
        <f>0.0484*1.084+0.5044</f>
        <v>0.55686559999999996</v>
      </c>
      <c r="T11" s="31">
        <f>0.0484*1.084+0.5839</f>
        <v>0.63636559999999998</v>
      </c>
      <c r="U11" s="34">
        <f>0.0484*1.084+0.6677</f>
        <v>0.72016559999999996</v>
      </c>
      <c r="V11" s="34">
        <f>0.0484*1.084+0.753</f>
        <v>0.8054656</v>
      </c>
    </row>
    <row r="12" spans="1:22" ht="15" customHeight="1" x14ac:dyDescent="0.25">
      <c r="A12" s="30" t="s">
        <v>40</v>
      </c>
      <c r="B12" s="31">
        <v>0.93600000000000005</v>
      </c>
      <c r="C12" s="31">
        <v>1.371</v>
      </c>
      <c r="D12" s="31">
        <v>1.6739999999999999</v>
      </c>
      <c r="E12" s="31">
        <v>1.8140000000000001</v>
      </c>
      <c r="F12" s="31">
        <v>1.881</v>
      </c>
      <c r="G12" s="31">
        <v>1.7490000000000001</v>
      </c>
      <c r="H12" s="31">
        <v>1.385</v>
      </c>
      <c r="I12" s="31">
        <v>1.2370000000000001</v>
      </c>
      <c r="J12" s="31">
        <v>1.1140000000000001</v>
      </c>
      <c r="K12" s="32">
        <v>1.0029999999999999</v>
      </c>
      <c r="L12" s="33" t="s">
        <v>40</v>
      </c>
      <c r="M12" s="31">
        <f>0.0719*1.084+0.0022</f>
        <v>8.0139600000000005E-2</v>
      </c>
      <c r="N12" s="31">
        <f>0.0719*1.084+0</f>
        <v>7.7939600000000012E-2</v>
      </c>
      <c r="O12" s="31">
        <f>0.0719*1.084+0.0323</f>
        <v>0.11023960000000002</v>
      </c>
      <c r="P12" s="31">
        <f>0.0719*1.084+0.0706</f>
        <v>0.14853959999999999</v>
      </c>
      <c r="Q12" s="31">
        <f>0.0719*1.084+0.1492</f>
        <v>0.2271396</v>
      </c>
      <c r="R12" s="31">
        <f>0.0719*1.084+0.2253</f>
        <v>0.3032396</v>
      </c>
      <c r="S12" s="31">
        <f>0.0719*1.084+0.4973</f>
        <v>0.57523960000000007</v>
      </c>
      <c r="T12" s="31">
        <f>0.0719*1.084+0.5759</f>
        <v>0.65383959999999997</v>
      </c>
      <c r="U12" s="34">
        <f>0.0719*1.084+0.6587</f>
        <v>0.73663959999999995</v>
      </c>
      <c r="V12" s="34">
        <f>0.0719*1.084+0.7428</f>
        <v>0.82073960000000001</v>
      </c>
    </row>
    <row r="13" spans="1:22" ht="15" customHeight="1" x14ac:dyDescent="0.25">
      <c r="A13" s="30" t="s">
        <v>41</v>
      </c>
      <c r="B13" s="31">
        <v>1.032</v>
      </c>
      <c r="C13" s="31">
        <v>1.462</v>
      </c>
      <c r="D13" s="31">
        <v>1.748</v>
      </c>
      <c r="E13" s="31">
        <v>1.8540000000000001</v>
      </c>
      <c r="F13" s="31">
        <v>1.9039999999999999</v>
      </c>
      <c r="G13" s="31">
        <v>1.772</v>
      </c>
      <c r="H13" s="31">
        <v>1.3979999999999999</v>
      </c>
      <c r="I13" s="31">
        <v>1.2470000000000001</v>
      </c>
      <c r="J13" s="31">
        <v>1.1220000000000001</v>
      </c>
      <c r="K13" s="32">
        <v>1.01</v>
      </c>
      <c r="L13" s="33" t="s">
        <v>41</v>
      </c>
      <c r="M13" s="31">
        <f>0.0671*1.084+0.001</f>
        <v>7.3736400000000007E-2</v>
      </c>
      <c r="N13" s="31">
        <f>0.0671*1.084+0</f>
        <v>7.2736400000000007E-2</v>
      </c>
      <c r="O13" s="31">
        <f>0.0671*1.084+0.0297</f>
        <v>0.10243640000000001</v>
      </c>
      <c r="P13" s="31">
        <f>0.0671*1.084+0.0677</f>
        <v>0.14043640000000002</v>
      </c>
      <c r="Q13" s="31">
        <f>0.0671*1.084+0.1448</f>
        <v>0.21753640000000002</v>
      </c>
      <c r="R13" s="31">
        <f>0.0671*1.084+0.2116</f>
        <v>0.28433640000000004</v>
      </c>
      <c r="S13" s="31">
        <f>0.0671*1.084+0.5182</f>
        <v>0.59093640000000003</v>
      </c>
      <c r="T13" s="31">
        <f>0.0671*1.084+0.596</f>
        <v>0.66873640000000001</v>
      </c>
      <c r="U13" s="34">
        <f>0.0671*1.084+0.6778</f>
        <v>0.75053639999999999</v>
      </c>
      <c r="V13" s="34">
        <f>0.0671*1.084+0.7608</f>
        <v>0.83353640000000007</v>
      </c>
    </row>
    <row r="14" spans="1:22" ht="15" customHeight="1" x14ac:dyDescent="0.25">
      <c r="A14" s="30" t="s">
        <v>42</v>
      </c>
      <c r="B14" s="31">
        <v>1.129</v>
      </c>
      <c r="C14" s="31">
        <v>1.554</v>
      </c>
      <c r="D14" s="31">
        <v>1.821</v>
      </c>
      <c r="E14" s="31">
        <v>1.8939999999999999</v>
      </c>
      <c r="F14" s="31">
        <v>1.927</v>
      </c>
      <c r="G14" s="31">
        <v>1.796</v>
      </c>
      <c r="H14" s="31">
        <v>1.4119999999999999</v>
      </c>
      <c r="I14" s="31">
        <v>1.2569999999999999</v>
      </c>
      <c r="J14" s="31">
        <v>1.1299999999999999</v>
      </c>
      <c r="K14" s="32">
        <v>1.016</v>
      </c>
      <c r="L14" s="33" t="s">
        <v>42</v>
      </c>
      <c r="M14" s="31">
        <f>0.0622*1.084+0</f>
        <v>6.7424800000000007E-2</v>
      </c>
      <c r="N14" s="31">
        <f>0.0622*1.084+0.0001</f>
        <v>6.752480000000001E-2</v>
      </c>
      <c r="O14" s="31">
        <f>0.0622*1.084+0.0272</f>
        <v>9.4624800000000009E-2</v>
      </c>
      <c r="P14" s="31">
        <f>0.0622*1.084+0.0649</f>
        <v>0.13232480000000002</v>
      </c>
      <c r="Q14" s="31">
        <f>0.0622*1.084+0.1405</f>
        <v>0.20792480000000002</v>
      </c>
      <c r="R14" s="31">
        <f>0.0622*1.084+0.198</f>
        <v>0.26542480000000002</v>
      </c>
      <c r="S14" s="31">
        <f>0.0622*1.084+0.5393</f>
        <v>0.60672480000000006</v>
      </c>
      <c r="T14" s="31">
        <f>0.0622*1.084+0.6162</f>
        <v>0.68362480000000003</v>
      </c>
      <c r="U14" s="34">
        <f>0.0622*1.084+0.697</f>
        <v>0.76442480000000002</v>
      </c>
      <c r="V14" s="34">
        <f>0.0622*1.084+0.7789</f>
        <v>0.8463248000000001</v>
      </c>
    </row>
    <row r="15" spans="1:22" ht="15" customHeight="1" x14ac:dyDescent="0.25">
      <c r="A15" s="30" t="s">
        <v>43</v>
      </c>
      <c r="B15" s="31">
        <v>1.218</v>
      </c>
      <c r="C15" s="31">
        <v>1.631</v>
      </c>
      <c r="D15" s="31">
        <v>1.887</v>
      </c>
      <c r="E15" s="31">
        <v>1.946</v>
      </c>
      <c r="F15" s="31">
        <v>1.9490000000000001</v>
      </c>
      <c r="G15" s="31">
        <v>1.821</v>
      </c>
      <c r="H15" s="31">
        <v>1.4339999999999999</v>
      </c>
      <c r="I15" s="31">
        <v>1.274</v>
      </c>
      <c r="J15" s="31">
        <v>1.143</v>
      </c>
      <c r="K15" s="32">
        <v>1.026</v>
      </c>
      <c r="L15" s="33" t="s">
        <v>43</v>
      </c>
      <c r="M15" s="31">
        <f>0.0562*1.084+0</f>
        <v>6.0920800000000004E-2</v>
      </c>
      <c r="N15" s="31">
        <f>0.0562*1.084+0.0007</f>
        <v>6.1620800000000003E-2</v>
      </c>
      <c r="O15" s="31">
        <f>0.0562*1.084+0.026</f>
        <v>8.6920800000000006E-2</v>
      </c>
      <c r="P15" s="31">
        <f>0.0562*1.084+0.0667</f>
        <v>0.12762080000000001</v>
      </c>
      <c r="Q15" s="31">
        <f>0.0562*1.084+0.1401</f>
        <v>0.2010208</v>
      </c>
      <c r="R15" s="31">
        <f>0.0562*1.084+0.3371</f>
        <v>0.39802080000000001</v>
      </c>
      <c r="S15" s="31">
        <f>0.0562*1.084+0.5292</f>
        <v>0.5901208</v>
      </c>
      <c r="T15" s="31">
        <f>0.0562*1.084+0.6069</f>
        <v>0.66782079999999999</v>
      </c>
      <c r="U15" s="34">
        <f>0.0562*1.084+0.6887</f>
        <v>0.74962079999999998</v>
      </c>
      <c r="V15" s="34">
        <f>0.0562*1.084+0.7717</f>
        <v>0.83262080000000005</v>
      </c>
    </row>
    <row r="16" spans="1:22" ht="15" customHeight="1" x14ac:dyDescent="0.25">
      <c r="A16" s="30" t="s">
        <v>44</v>
      </c>
      <c r="B16" s="31">
        <v>1.3069999999999999</v>
      </c>
      <c r="C16" s="31">
        <v>1.7090000000000001</v>
      </c>
      <c r="D16" s="31">
        <v>1.954</v>
      </c>
      <c r="E16" s="31">
        <v>1.9970000000000001</v>
      </c>
      <c r="F16" s="31">
        <v>1.9710000000000001</v>
      </c>
      <c r="G16" s="31">
        <v>1.8460000000000001</v>
      </c>
      <c r="H16" s="31">
        <v>1.456</v>
      </c>
      <c r="I16" s="31">
        <v>1.292</v>
      </c>
      <c r="J16" s="31">
        <v>1.157</v>
      </c>
      <c r="K16" s="32">
        <v>1.036</v>
      </c>
      <c r="L16" s="33" t="s">
        <v>44</v>
      </c>
      <c r="M16" s="31">
        <f>0.0503*1.084+0</f>
        <v>5.4525200000000003E-2</v>
      </c>
      <c r="N16" s="31">
        <f>0.0503*1.084+0.0013</f>
        <v>5.5825200000000005E-2</v>
      </c>
      <c r="O16" s="31">
        <f>0.0503*1.084+0.0248</f>
        <v>7.9325199999999998E-2</v>
      </c>
      <c r="P16" s="31">
        <f>0.0503*1.084+0.0684</f>
        <v>0.12292520000000001</v>
      </c>
      <c r="Q16" s="31">
        <f>0.0503*1.084+0.1397</f>
        <v>0.19422519999999999</v>
      </c>
      <c r="R16" s="31">
        <f>0.0503*1.084+0.4763</f>
        <v>0.5308252</v>
      </c>
      <c r="S16" s="31">
        <f>0.0503*1.084+0.5191</f>
        <v>0.57362520000000006</v>
      </c>
      <c r="T16" s="31">
        <f>0.0503*1.084+0.5977</f>
        <v>0.65222520000000006</v>
      </c>
      <c r="U16" s="34">
        <f>0.0503*1.084+0.6805</f>
        <v>0.73502520000000005</v>
      </c>
      <c r="V16" s="34">
        <f>0.0503*1.084+0.7646</f>
        <v>0.8191252</v>
      </c>
    </row>
    <row r="17" spans="1:22" ht="15" customHeight="1" x14ac:dyDescent="0.25">
      <c r="A17" s="30" t="s">
        <v>45</v>
      </c>
      <c r="B17" s="31">
        <v>1.38</v>
      </c>
      <c r="C17" s="31">
        <v>1.776</v>
      </c>
      <c r="D17" s="31">
        <v>2.0099999999999998</v>
      </c>
      <c r="E17" s="31">
        <v>2.044</v>
      </c>
      <c r="F17" s="31">
        <v>1.9930000000000001</v>
      </c>
      <c r="G17" s="31">
        <v>1.8580000000000001</v>
      </c>
      <c r="H17" s="31">
        <v>1.464</v>
      </c>
      <c r="I17" s="31">
        <v>1.2989999999999999</v>
      </c>
      <c r="J17" s="31">
        <v>1.1619999999999999</v>
      </c>
      <c r="K17" s="32">
        <v>1.04</v>
      </c>
      <c r="L17" s="33" t="s">
        <v>45</v>
      </c>
      <c r="M17" s="31">
        <f>0.0443*1.084+0</f>
        <v>4.80212E-2</v>
      </c>
      <c r="N17" s="31">
        <f>0.0443*1.084+0.0024</f>
        <v>5.0421199999999999E-2</v>
      </c>
      <c r="O17" s="31">
        <f>0.0443*1.084+0.0244</f>
        <v>7.2421200000000005E-2</v>
      </c>
      <c r="P17" s="31">
        <f>0.0443*1.084+0.0721</f>
        <v>0.1201212</v>
      </c>
      <c r="Q17" s="31">
        <f>0.0443*1.084+0.1428</f>
        <v>0.19082120000000002</v>
      </c>
      <c r="R17" s="31">
        <f>0.0443*1.084+0.5</f>
        <v>0.54802119999999999</v>
      </c>
      <c r="S17" s="31">
        <f>0.0443*1.084+0.5437</f>
        <v>0.59172119999999995</v>
      </c>
      <c r="T17" s="31">
        <f>0.0443*1.084+0.6213</f>
        <v>0.66932119999999995</v>
      </c>
      <c r="U17" s="34">
        <f>0.0443*1.084+0.7029</f>
        <v>0.75092119999999996</v>
      </c>
      <c r="V17" s="34">
        <f>0.0443*1.084+0.7857</f>
        <v>0.83372119999999994</v>
      </c>
    </row>
    <row r="18" spans="1:22" ht="15" customHeight="1" x14ac:dyDescent="0.25">
      <c r="A18" s="30" t="s">
        <v>46</v>
      </c>
      <c r="B18" s="31">
        <v>1.4530000000000001</v>
      </c>
      <c r="C18" s="31">
        <v>1.843</v>
      </c>
      <c r="D18" s="31">
        <v>2.0649999999999999</v>
      </c>
      <c r="E18" s="31">
        <v>2.09</v>
      </c>
      <c r="F18" s="31">
        <v>2.016</v>
      </c>
      <c r="G18" s="31">
        <v>1.869</v>
      </c>
      <c r="H18" s="31">
        <v>1.4730000000000001</v>
      </c>
      <c r="I18" s="31">
        <v>1.3049999999999999</v>
      </c>
      <c r="J18" s="31">
        <v>1.167</v>
      </c>
      <c r="K18" s="32">
        <v>1.044</v>
      </c>
      <c r="L18" s="33" t="s">
        <v>46</v>
      </c>
      <c r="M18" s="31">
        <f>0.0384*1.084+0</f>
        <v>4.1625599999999999E-2</v>
      </c>
      <c r="N18" s="31">
        <f>0.0384*1.084+0.0036</f>
        <v>4.5225599999999998E-2</v>
      </c>
      <c r="O18" s="31">
        <f>0.0384*1.084+0.0241</f>
        <v>6.5725599999999995E-2</v>
      </c>
      <c r="P18" s="31">
        <f>0.0384*1.084+0.0757</f>
        <v>0.1173256</v>
      </c>
      <c r="Q18" s="31">
        <f>0.0384*1.084+0.146</f>
        <v>0.1876256</v>
      </c>
      <c r="R18" s="31">
        <f>0.0384*1.084+0.5238</f>
        <v>0.56542560000000008</v>
      </c>
      <c r="S18" s="31">
        <f>0.0384*1.084+0.5682</f>
        <v>0.60982560000000008</v>
      </c>
      <c r="T18" s="31">
        <f>0.0384*1.084+0.6448</f>
        <v>0.68642560000000008</v>
      </c>
      <c r="U18" s="34">
        <f>0.0384*1.084+0.7253</f>
        <v>0.76692559999999999</v>
      </c>
      <c r="V18" s="34">
        <f>0.0384*1.084+0.8069</f>
        <v>0.84852559999999999</v>
      </c>
    </row>
    <row r="19" spans="1:22" ht="15" customHeight="1" x14ac:dyDescent="0.25">
      <c r="A19" s="30" t="s">
        <v>47</v>
      </c>
      <c r="B19" s="31">
        <v>1.526</v>
      </c>
      <c r="C19" s="31">
        <v>1.91</v>
      </c>
      <c r="D19" s="31">
        <v>2.121</v>
      </c>
      <c r="E19" s="31">
        <v>2.137</v>
      </c>
      <c r="F19" s="31">
        <v>2.0379999999999998</v>
      </c>
      <c r="G19" s="31">
        <v>1.881</v>
      </c>
      <c r="H19" s="31">
        <v>1.4810000000000001</v>
      </c>
      <c r="I19" s="31">
        <v>1.3120000000000001</v>
      </c>
      <c r="J19" s="31">
        <v>1.1719999999999999</v>
      </c>
      <c r="K19" s="32">
        <v>1.048</v>
      </c>
      <c r="L19" s="33" t="s">
        <v>47</v>
      </c>
      <c r="M19" s="31">
        <f>0.0324*1.084+0</f>
        <v>3.5121600000000003E-2</v>
      </c>
      <c r="N19" s="31">
        <f>0.0324*1.084+0.0047</f>
        <v>3.9821600000000006E-2</v>
      </c>
      <c r="O19" s="31">
        <f>0.0324*1.084+0.0237</f>
        <v>5.8821600000000002E-2</v>
      </c>
      <c r="P19" s="31">
        <f>0.0324*1.084+0.0794</f>
        <v>0.1145216</v>
      </c>
      <c r="Q19" s="31">
        <f>0.0324*1.084+0.1491</f>
        <v>0.18422160000000001</v>
      </c>
      <c r="R19" s="31">
        <f>0.0324*1.084+0.5475</f>
        <v>0.58262159999999996</v>
      </c>
      <c r="S19" s="31">
        <f>0.0324*1.084+0.5928</f>
        <v>0.62792159999999997</v>
      </c>
      <c r="T19" s="31">
        <f>0.0324*1.084+0.6684</f>
        <v>0.70352159999999997</v>
      </c>
      <c r="U19" s="34">
        <f>0.0324*1.084+0.7477</f>
        <v>0.78282160000000001</v>
      </c>
      <c r="V19" s="34">
        <f>0.0324*1.084+0.828</f>
        <v>0.86312159999999993</v>
      </c>
    </row>
    <row r="22" spans="1:22" ht="15" customHeight="1" x14ac:dyDescent="0.25">
      <c r="A22" s="35"/>
    </row>
    <row r="23" spans="1:22" ht="15" customHeight="1" x14ac:dyDescent="0.25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</row>
    <row r="24" spans="1:22" ht="15" customHeight="1" x14ac:dyDescent="0.25">
      <c r="A24" s="37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</row>
    <row r="25" spans="1:22" ht="15" customHeight="1" x14ac:dyDescent="0.25">
      <c r="A25" s="37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</row>
    <row r="26" spans="1:22" ht="15" customHeight="1" x14ac:dyDescent="0.25">
      <c r="A26" s="37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</row>
    <row r="27" spans="1:22" ht="15" customHeight="1" x14ac:dyDescent="0.25">
      <c r="A27" s="37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</row>
    <row r="28" spans="1:22" ht="15" customHeight="1" x14ac:dyDescent="0.25">
      <c r="A28" s="37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</row>
    <row r="29" spans="1:22" ht="15" customHeight="1" x14ac:dyDescent="0.25">
      <c r="A29" s="37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</row>
    <row r="30" spans="1:22" ht="15" customHeight="1" x14ac:dyDescent="0.25">
      <c r="A30" s="37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</row>
    <row r="31" spans="1:22" ht="15" customHeight="1" x14ac:dyDescent="0.25">
      <c r="A31" s="37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</row>
    <row r="32" spans="1:22" ht="15" customHeight="1" x14ac:dyDescent="0.25">
      <c r="A32" s="37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</row>
    <row r="33" spans="1:16" ht="15" customHeight="1" x14ac:dyDescent="0.25">
      <c r="A33" s="37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</row>
    <row r="34" spans="1:16" ht="15" customHeight="1" x14ac:dyDescent="0.25">
      <c r="A34" s="37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</row>
    <row r="35" spans="1:16" ht="15" customHeight="1" x14ac:dyDescent="0.25">
      <c r="A35" s="37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</row>
    <row r="36" spans="1:16" ht="15" customHeight="1" x14ac:dyDescent="0.25">
      <c r="A36" s="37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</row>
    <row r="37" spans="1:16" ht="15" customHeight="1" x14ac:dyDescent="0.25">
      <c r="A37" s="37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</row>
    <row r="38" spans="1:16" ht="15" customHeight="1" x14ac:dyDescent="0.25">
      <c r="A38" s="37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</row>
    <row r="39" spans="1:16" ht="15" customHeight="1" x14ac:dyDescent="0.25">
      <c r="A39" s="37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</row>
    <row r="40" spans="1:16" ht="15" customHeight="1" x14ac:dyDescent="0.25">
      <c r="A40" s="37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</row>
    <row r="41" spans="1:16" ht="15" customHeight="1" x14ac:dyDescent="0.25">
      <c r="A41" s="37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</row>
    <row r="42" spans="1:16" ht="15" customHeight="1" x14ac:dyDescent="0.25">
      <c r="A42" s="37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</row>
    <row r="43" spans="1:16" ht="15" customHeight="1" x14ac:dyDescent="0.25">
      <c r="A43" s="37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</row>
    <row r="44" spans="1:16" ht="15" customHeight="1" x14ac:dyDescent="0.25">
      <c r="A44" s="37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</row>
    <row r="45" spans="1:16" ht="15" customHeight="1" x14ac:dyDescent="0.25">
      <c r="A45" s="37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</row>
    <row r="46" spans="1:16" ht="15" customHeight="1" x14ac:dyDescent="0.25">
      <c r="A46" s="37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</row>
    <row r="47" spans="1:16" ht="15" customHeight="1" x14ac:dyDescent="0.25">
      <c r="A47" s="37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</row>
    <row r="48" spans="1:16" ht="15" customHeight="1" x14ac:dyDescent="0.25">
      <c r="A48" s="37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</row>
    <row r="49" spans="1:16" ht="15" customHeight="1" x14ac:dyDescent="0.25">
      <c r="A49" s="37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</row>
    <row r="50" spans="1:16" ht="15" customHeight="1" x14ac:dyDescent="0.25">
      <c r="A50" s="37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</row>
    <row r="51" spans="1:16" ht="15" customHeight="1" x14ac:dyDescent="0.25">
      <c r="A51" s="37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</row>
    <row r="52" spans="1:16" ht="15" customHeight="1" x14ac:dyDescent="0.25">
      <c r="A52" s="37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</row>
    <row r="53" spans="1:16" ht="15" customHeight="1" x14ac:dyDescent="0.25">
      <c r="A53" s="37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</row>
    <row r="54" spans="1:16" ht="15" customHeight="1" x14ac:dyDescent="0.25">
      <c r="A54" s="37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</row>
    <row r="55" spans="1:16" ht="15" customHeight="1" x14ac:dyDescent="0.25">
      <c r="A55" s="37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</row>
    <row r="56" spans="1:16" ht="15" customHeight="1" x14ac:dyDescent="0.25">
      <c r="A56" s="37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</row>
    <row r="57" spans="1:16" ht="15" customHeight="1" x14ac:dyDescent="0.25">
      <c r="A57" s="37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</row>
    <row r="58" spans="1:16" ht="15" customHeight="1" x14ac:dyDescent="0.25">
      <c r="A58" s="37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</row>
    <row r="59" spans="1:16" ht="15" customHeight="1" x14ac:dyDescent="0.25">
      <c r="A59" s="37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</row>
    <row r="60" spans="1:16" ht="15" customHeight="1" x14ac:dyDescent="0.25">
      <c r="A60" s="37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</row>
    <row r="61" spans="1:16" ht="15" customHeight="1" x14ac:dyDescent="0.25">
      <c r="A61" s="37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</row>
    <row r="62" spans="1:16" ht="15" customHeight="1" x14ac:dyDescent="0.25">
      <c r="A62" s="37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</row>
    <row r="63" spans="1:16" ht="15" customHeight="1" x14ac:dyDescent="0.25">
      <c r="A63" s="37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</row>
    <row r="64" spans="1:16" ht="15" customHeight="1" x14ac:dyDescent="0.25">
      <c r="A64" s="37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</row>
    <row r="65" spans="1:16" ht="15" customHeight="1" x14ac:dyDescent="0.25">
      <c r="A65" s="37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</row>
    <row r="66" spans="1:16" ht="15" customHeight="1" x14ac:dyDescent="0.25">
      <c r="A66" s="37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</row>
    <row r="67" spans="1:16" ht="15" customHeight="1" x14ac:dyDescent="0.25">
      <c r="A67" s="37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</row>
    <row r="68" spans="1:16" ht="15" customHeight="1" x14ac:dyDescent="0.25">
      <c r="A68" s="37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</row>
    <row r="69" spans="1:16" ht="15" customHeight="1" x14ac:dyDescent="0.25">
      <c r="A69" s="37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</row>
  </sheetData>
  <conditionalFormatting sqref="B4:K19">
    <cfRule type="colorScale" priority="2">
      <colorScale>
        <cfvo type="min"/>
        <cfvo type="percentile" val="50"/>
        <cfvo type="max"/>
        <color rgb="FFEBF5FB"/>
        <color rgb="FF2980B9"/>
        <color rgb="FF1A5276"/>
      </colorScale>
    </cfRule>
  </conditionalFormatting>
  <conditionalFormatting sqref="M4:V19">
    <cfRule type="colorScale" priority="3">
      <colorScale>
        <cfvo type="min"/>
        <cfvo type="percentile" val="50"/>
        <cfvo type="max"/>
        <color rgb="FFE9F7EF"/>
        <color rgb="FFF39C12"/>
        <color rgb="FF922B21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69"/>
  <sheetViews>
    <sheetView showGridLines="0" tabSelected="1" zoomScaleNormal="100" workbookViewId="0">
      <pane ySplit="3" topLeftCell="A4" activePane="bottomLeft" state="frozen"/>
      <selection pane="bottomLeft"/>
    </sheetView>
  </sheetViews>
  <sheetFormatPr baseColWidth="10" defaultColWidth="8.7109375" defaultRowHeight="15" x14ac:dyDescent="0.25"/>
  <cols>
    <col min="1" max="1" width="8" style="1" customWidth="1"/>
    <col min="2" max="17" width="7" style="1" customWidth="1"/>
    <col min="18" max="22" width="8" style="1" customWidth="1"/>
  </cols>
  <sheetData>
    <row r="1" spans="1:22" ht="19.5" customHeight="1" x14ac:dyDescent="0.25">
      <c r="A1" s="25" t="s">
        <v>53</v>
      </c>
    </row>
    <row r="2" spans="1:22" ht="15" customHeight="1" x14ac:dyDescent="0.25">
      <c r="B2" s="26" t="s">
        <v>19</v>
      </c>
      <c r="L2" s="27"/>
      <c r="M2" s="11" t="s">
        <v>20</v>
      </c>
    </row>
    <row r="3" spans="1:22" ht="15" customHeight="1" x14ac:dyDescent="0.25">
      <c r="A3" s="28" t="s">
        <v>21</v>
      </c>
      <c r="B3" s="28" t="s">
        <v>22</v>
      </c>
      <c r="C3" s="28" t="s">
        <v>23</v>
      </c>
      <c r="D3" s="28" t="s">
        <v>24</v>
      </c>
      <c r="E3" s="28" t="s">
        <v>25</v>
      </c>
      <c r="F3" s="28" t="s">
        <v>26</v>
      </c>
      <c r="G3" s="28" t="s">
        <v>27</v>
      </c>
      <c r="H3" s="28" t="s">
        <v>28</v>
      </c>
      <c r="I3" s="28" t="s">
        <v>29</v>
      </c>
      <c r="J3" s="28" t="s">
        <v>30</v>
      </c>
      <c r="K3" s="29" t="s">
        <v>31</v>
      </c>
      <c r="L3" s="28" t="s">
        <v>21</v>
      </c>
      <c r="M3" s="28" t="s">
        <v>22</v>
      </c>
      <c r="N3" s="28" t="s">
        <v>23</v>
      </c>
      <c r="O3" s="28" t="s">
        <v>24</v>
      </c>
      <c r="P3" s="28" t="s">
        <v>25</v>
      </c>
      <c r="Q3" s="28" t="s">
        <v>26</v>
      </c>
      <c r="R3" s="28" t="s">
        <v>27</v>
      </c>
      <c r="S3" s="28" t="s">
        <v>28</v>
      </c>
      <c r="T3" s="28" t="s">
        <v>29</v>
      </c>
      <c r="U3" s="29" t="s">
        <v>30</v>
      </c>
      <c r="V3" s="29" t="s">
        <v>31</v>
      </c>
    </row>
    <row r="4" spans="1:22" ht="15" customHeight="1" x14ac:dyDescent="0.25">
      <c r="A4" s="30" t="s">
        <v>32</v>
      </c>
      <c r="B4" s="31">
        <v>0</v>
      </c>
      <c r="C4" s="31">
        <v>0.52700000000000002</v>
      </c>
      <c r="D4" s="31">
        <v>1.022</v>
      </c>
      <c r="E4" s="31">
        <v>1.407</v>
      </c>
      <c r="F4" s="31">
        <v>1.6180000000000001</v>
      </c>
      <c r="G4" s="31">
        <v>1.4370000000000001</v>
      </c>
      <c r="H4" s="31">
        <v>1.2310000000000001</v>
      </c>
      <c r="I4" s="31">
        <v>1.117</v>
      </c>
      <c r="J4" s="31">
        <v>1.02</v>
      </c>
      <c r="K4" s="32">
        <v>0.93100000000000005</v>
      </c>
      <c r="L4" s="33" t="s">
        <v>32</v>
      </c>
      <c r="M4" s="31">
        <f>0.01*1.052+0</f>
        <v>1.052E-2</v>
      </c>
      <c r="N4" s="31">
        <f>0.01*1.052+0.0257</f>
        <v>3.6220000000000002E-2</v>
      </c>
      <c r="O4" s="31">
        <f>0.01*1.052+0.0966</f>
        <v>0.10712000000000001</v>
      </c>
      <c r="P4" s="31">
        <f>0.01*1.052+0.183</f>
        <v>0.19352</v>
      </c>
      <c r="Q4" s="31">
        <f>0.01*1.052+0.2421</f>
        <v>0.25262000000000001</v>
      </c>
      <c r="R4" s="31">
        <f>0.01*1.052+0.1909</f>
        <v>0.20141999999999999</v>
      </c>
      <c r="S4" s="31">
        <f>0.01*1.052+0.418</f>
        <v>0.42851999999999996</v>
      </c>
      <c r="T4" s="31">
        <f>0.01*1.052+0.5043</f>
        <v>0.51481999999999994</v>
      </c>
      <c r="U4" s="34">
        <f>0.01*1.052+0.5957</f>
        <v>0.60621999999999998</v>
      </c>
      <c r="V4" s="34">
        <f>0.01*1.052+0.6894</f>
        <v>0.69991999999999999</v>
      </c>
    </row>
    <row r="5" spans="1:22" ht="15" customHeight="1" x14ac:dyDescent="0.25">
      <c r="A5" s="30" t="s">
        <v>33</v>
      </c>
      <c r="B5" s="31">
        <v>0.126</v>
      </c>
      <c r="C5" s="31">
        <v>0.64700000000000002</v>
      </c>
      <c r="D5" s="31">
        <v>1.109</v>
      </c>
      <c r="E5" s="31">
        <v>1.47</v>
      </c>
      <c r="F5" s="31">
        <v>1.661</v>
      </c>
      <c r="G5" s="31">
        <v>1.49</v>
      </c>
      <c r="H5" s="31">
        <v>1.256</v>
      </c>
      <c r="I5" s="31">
        <v>1.1359999999999999</v>
      </c>
      <c r="J5" s="31">
        <v>1.0349999999999999</v>
      </c>
      <c r="K5" s="32">
        <v>0.94299999999999995</v>
      </c>
      <c r="L5" s="33" t="s">
        <v>33</v>
      </c>
      <c r="M5" s="31">
        <f>0.0121*1.052+0</f>
        <v>1.27292E-2</v>
      </c>
      <c r="N5" s="31">
        <f>0.0121*1.052+0.0242</f>
        <v>3.6929199999999995E-2</v>
      </c>
      <c r="O5" s="31">
        <f>0.0121*1.052+0.0892</f>
        <v>0.1019292</v>
      </c>
      <c r="P5" s="31">
        <f>0.0121*1.052+0.1688</f>
        <v>0.1815292</v>
      </c>
      <c r="Q5" s="31">
        <f>0.0121*1.052+0.2238</f>
        <v>0.2365292</v>
      </c>
      <c r="R5" s="31">
        <f>0.0121*1.052+0.1865</f>
        <v>0.1992292</v>
      </c>
      <c r="S5" s="31">
        <f>0.0121*1.052+0.4328</f>
        <v>0.44552920000000001</v>
      </c>
      <c r="T5" s="31">
        <f>0.0121*1.052+0.5182</f>
        <v>0.53092919999999999</v>
      </c>
      <c r="U5" s="34">
        <f>0.0121*1.052+0.6086</f>
        <v>0.62132920000000003</v>
      </c>
      <c r="V5" s="34">
        <f>0.0121*1.052+0.7011</f>
        <v>0.71382919999999994</v>
      </c>
    </row>
    <row r="6" spans="1:22" ht="15" customHeight="1" x14ac:dyDescent="0.25">
      <c r="A6" s="30" t="s">
        <v>34</v>
      </c>
      <c r="B6" s="31">
        <v>0.252</v>
      </c>
      <c r="C6" s="31">
        <v>0.76600000000000001</v>
      </c>
      <c r="D6" s="31">
        <v>1.196</v>
      </c>
      <c r="E6" s="31">
        <v>1.534</v>
      </c>
      <c r="F6" s="31">
        <v>1.704</v>
      </c>
      <c r="G6" s="31">
        <v>1.5429999999999999</v>
      </c>
      <c r="H6" s="31">
        <v>1.2809999999999999</v>
      </c>
      <c r="I6" s="31">
        <v>1.155</v>
      </c>
      <c r="J6" s="31">
        <v>1.05</v>
      </c>
      <c r="K6" s="32">
        <v>0.95399999999999996</v>
      </c>
      <c r="L6" s="33" t="s">
        <v>34</v>
      </c>
      <c r="M6" s="31">
        <f>0.0142*1.052+0</f>
        <v>1.4938400000000001E-2</v>
      </c>
      <c r="N6" s="31">
        <f>0.0142*1.052+0.0226</f>
        <v>3.75384E-2</v>
      </c>
      <c r="O6" s="31">
        <f>0.0142*1.052+0.0818</f>
        <v>9.6738400000000002E-2</v>
      </c>
      <c r="P6" s="31">
        <f>0.0142*1.052+0.1545</f>
        <v>0.16943839999999999</v>
      </c>
      <c r="Q6" s="31">
        <f>0.0142*1.052+0.2054</f>
        <v>0.22033839999999999</v>
      </c>
      <c r="R6" s="31">
        <f>0.0142*1.052+0.1821</f>
        <v>0.1970384</v>
      </c>
      <c r="S6" s="31">
        <f>0.0142*1.052+0.4477</f>
        <v>0.46263840000000001</v>
      </c>
      <c r="T6" s="31">
        <f>0.0142*1.052+0.5321</f>
        <v>0.54703840000000004</v>
      </c>
      <c r="U6" s="34">
        <f>0.0142*1.052+0.6215</f>
        <v>0.63643840000000007</v>
      </c>
      <c r="V6" s="34">
        <f>0.0142*1.052+0.7129</f>
        <v>0.7278384</v>
      </c>
    </row>
    <row r="7" spans="1:22" ht="15" customHeight="1" x14ac:dyDescent="0.25">
      <c r="A7" s="30" t="s">
        <v>35</v>
      </c>
      <c r="B7" s="31">
        <v>0.376</v>
      </c>
      <c r="C7" s="31">
        <v>0.873</v>
      </c>
      <c r="D7" s="31">
        <v>1.278</v>
      </c>
      <c r="E7" s="31">
        <v>1.591</v>
      </c>
      <c r="F7" s="31">
        <v>1.738</v>
      </c>
      <c r="G7" s="31">
        <v>1.585</v>
      </c>
      <c r="H7" s="31">
        <v>1.3009999999999999</v>
      </c>
      <c r="I7" s="31">
        <v>1.171</v>
      </c>
      <c r="J7" s="31">
        <v>1.0620000000000001</v>
      </c>
      <c r="K7" s="32">
        <v>0.96399999999999997</v>
      </c>
      <c r="L7" s="33" t="s">
        <v>35</v>
      </c>
      <c r="M7" s="31">
        <f>0.0163*1.052+0</f>
        <v>1.7147599999999999E-2</v>
      </c>
      <c r="N7" s="31">
        <f>0.0163*1.052+0.0201</f>
        <v>3.7247599999999999E-2</v>
      </c>
      <c r="O7" s="31">
        <f>0.0163*1.052+0.0745</f>
        <v>9.1647599999999996E-2</v>
      </c>
      <c r="P7" s="31">
        <f>0.0163*1.052+0.1407</f>
        <v>0.15784759999999998</v>
      </c>
      <c r="Q7" s="31">
        <f>0.0163*1.052+0.1882</f>
        <v>0.20534760000000002</v>
      </c>
      <c r="R7" s="31">
        <f>0.0163*1.052+0.1778</f>
        <v>0.1949476</v>
      </c>
      <c r="S7" s="31">
        <f>0.0163*1.052+0.4618</f>
        <v>0.47894759999999997</v>
      </c>
      <c r="T7" s="31">
        <f>0.0163*1.052+0.5453</f>
        <v>0.56244760000000005</v>
      </c>
      <c r="U7" s="34">
        <f>0.0163*1.052+0.6338</f>
        <v>0.65094760000000007</v>
      </c>
      <c r="V7" s="34">
        <f>0.0163*1.052+0.724</f>
        <v>0.74114760000000002</v>
      </c>
    </row>
    <row r="8" spans="1:22" ht="15" customHeight="1" x14ac:dyDescent="0.25">
      <c r="A8" s="30" t="s">
        <v>36</v>
      </c>
      <c r="B8" s="31">
        <v>0.499</v>
      </c>
      <c r="C8" s="31">
        <v>0.97899999999999998</v>
      </c>
      <c r="D8" s="31">
        <v>1.36</v>
      </c>
      <c r="E8" s="31">
        <v>1.647</v>
      </c>
      <c r="F8" s="31">
        <v>1.7729999999999999</v>
      </c>
      <c r="G8" s="31">
        <v>1.627</v>
      </c>
      <c r="H8" s="31">
        <v>1.321</v>
      </c>
      <c r="I8" s="31">
        <v>1.1870000000000001</v>
      </c>
      <c r="J8" s="31">
        <v>1.075</v>
      </c>
      <c r="K8" s="32">
        <v>0.97299999999999998</v>
      </c>
      <c r="L8" s="33" t="s">
        <v>36</v>
      </c>
      <c r="M8" s="31">
        <f>0.0185*1.052+0</f>
        <v>1.9462E-2</v>
      </c>
      <c r="N8" s="31">
        <f>0.0185*1.052+0.0175</f>
        <v>3.6962000000000002E-2</v>
      </c>
      <c r="O8" s="31">
        <f>0.0185*1.052+0.0672</f>
        <v>8.6661999999999989E-2</v>
      </c>
      <c r="P8" s="31">
        <f>0.0185*1.052+0.1269</f>
        <v>0.14636200000000002</v>
      </c>
      <c r="Q8" s="31">
        <f>0.0185*1.052+0.171</f>
        <v>0.19046200000000002</v>
      </c>
      <c r="R8" s="31">
        <f>0.0185*1.052+0.1735</f>
        <v>0.19296199999999999</v>
      </c>
      <c r="S8" s="31">
        <f>0.0185*1.052+0.4759</f>
        <v>0.49536199999999997</v>
      </c>
      <c r="T8" s="31">
        <f>0.0185*1.052+0.5585</f>
        <v>0.57796199999999998</v>
      </c>
      <c r="U8" s="34">
        <f>0.0185*1.052+0.646</f>
        <v>0.665462</v>
      </c>
      <c r="V8" s="34">
        <f>0.0185*1.052+0.7351</f>
        <v>0.75456199999999995</v>
      </c>
    </row>
    <row r="9" spans="1:22" ht="15" customHeight="1" x14ac:dyDescent="0.25">
      <c r="A9" s="30" t="s">
        <v>37</v>
      </c>
      <c r="B9" s="31">
        <v>0.61399999999999999</v>
      </c>
      <c r="C9" s="31">
        <v>1.077</v>
      </c>
      <c r="D9" s="31">
        <v>1.44</v>
      </c>
      <c r="E9" s="31">
        <v>1.6919999999999999</v>
      </c>
      <c r="F9" s="31">
        <v>1.8009999999999999</v>
      </c>
      <c r="G9" s="31">
        <v>1.66</v>
      </c>
      <c r="H9" s="31">
        <v>1.3380000000000001</v>
      </c>
      <c r="I9" s="31">
        <v>1.2</v>
      </c>
      <c r="J9" s="31">
        <v>1.0860000000000001</v>
      </c>
      <c r="K9" s="32">
        <v>0.98099999999999998</v>
      </c>
      <c r="L9" s="33" t="s">
        <v>37</v>
      </c>
      <c r="M9" s="31">
        <f>0.0206*1.052+0</f>
        <v>2.1671200000000002E-2</v>
      </c>
      <c r="N9" s="31">
        <f>0.0206*1.052+0.0151</f>
        <v>3.6771200000000004E-2</v>
      </c>
      <c r="O9" s="31">
        <f>0.0206*1.052+0.0614</f>
        <v>8.3071200000000012E-2</v>
      </c>
      <c r="P9" s="31">
        <f>0.0206*1.052+0.1143</f>
        <v>0.13597120000000001</v>
      </c>
      <c r="Q9" s="31">
        <f>0.0206*1.052+0.1573</f>
        <v>0.1789712</v>
      </c>
      <c r="R9" s="31">
        <f>0.0206*1.052+0.1717</f>
        <v>0.19337119999999999</v>
      </c>
      <c r="S9" s="31">
        <f>0.0206*1.052+0.4948</f>
        <v>0.51647120000000002</v>
      </c>
      <c r="T9" s="31">
        <f>0.0206*1.052+0.5763</f>
        <v>0.59797120000000004</v>
      </c>
      <c r="U9" s="34">
        <f>0.0206*1.052+0.6624</f>
        <v>0.68407119999999999</v>
      </c>
      <c r="V9" s="34">
        <f>0.0206*1.052+0.7502</f>
        <v>0.77187119999999998</v>
      </c>
    </row>
    <row r="10" spans="1:22" ht="15" customHeight="1" x14ac:dyDescent="0.25">
      <c r="A10" s="30" t="s">
        <v>38</v>
      </c>
      <c r="B10" s="31">
        <v>0.72899999999999998</v>
      </c>
      <c r="C10" s="31">
        <v>1.175</v>
      </c>
      <c r="D10" s="31">
        <v>1.5189999999999999</v>
      </c>
      <c r="E10" s="31">
        <v>1.738</v>
      </c>
      <c r="F10" s="31">
        <v>1.83</v>
      </c>
      <c r="G10" s="31">
        <v>1.694</v>
      </c>
      <c r="H10" s="31">
        <v>1.355</v>
      </c>
      <c r="I10" s="31">
        <v>1.2130000000000001</v>
      </c>
      <c r="J10" s="31">
        <v>1.0960000000000001</v>
      </c>
      <c r="K10" s="32">
        <v>0.98899999999999999</v>
      </c>
      <c r="L10" s="33" t="s">
        <v>38</v>
      </c>
      <c r="M10" s="31">
        <f>0.0227*1.052+0</f>
        <v>2.3880400000000003E-2</v>
      </c>
      <c r="N10" s="31">
        <f>0.0227*1.052+0.0127</f>
        <v>3.6580399999999999E-2</v>
      </c>
      <c r="O10" s="31">
        <f>0.0227*1.052+0.0557</f>
        <v>7.9580399999999996E-2</v>
      </c>
      <c r="P10" s="31">
        <f>0.0227*1.052+0.1017</f>
        <v>0.12558040000000001</v>
      </c>
      <c r="Q10" s="31">
        <f>0.0227*1.052+0.1435</f>
        <v>0.16738039999999998</v>
      </c>
      <c r="R10" s="31">
        <f>0.0227*1.052+0.1699</f>
        <v>0.19378039999999999</v>
      </c>
      <c r="S10" s="31">
        <f>0.0227*1.052+0.5137</f>
        <v>0.53758040000000007</v>
      </c>
      <c r="T10" s="31">
        <f>0.0227*1.052+0.5941</f>
        <v>0.61798039999999999</v>
      </c>
      <c r="U10" s="34">
        <f>0.0227*1.052+0.6789</f>
        <v>0.70278039999999997</v>
      </c>
      <c r="V10" s="34">
        <f>0.0227*1.052+0.7653</f>
        <v>0.7891804</v>
      </c>
    </row>
    <row r="11" spans="1:22" ht="15" customHeight="1" x14ac:dyDescent="0.25">
      <c r="A11" s="30" t="s">
        <v>39</v>
      </c>
      <c r="B11" s="31">
        <v>0.83299999999999996</v>
      </c>
      <c r="C11" s="31">
        <v>1.2729999999999999</v>
      </c>
      <c r="D11" s="31">
        <v>1.5960000000000001</v>
      </c>
      <c r="E11" s="31">
        <v>1.776</v>
      </c>
      <c r="F11" s="31">
        <v>1.8560000000000001</v>
      </c>
      <c r="G11" s="31">
        <v>1.722</v>
      </c>
      <c r="H11" s="31">
        <v>1.37</v>
      </c>
      <c r="I11" s="31">
        <v>1.2250000000000001</v>
      </c>
      <c r="J11" s="31">
        <v>1.105</v>
      </c>
      <c r="K11" s="32">
        <v>0.996</v>
      </c>
      <c r="L11" s="33" t="s">
        <v>39</v>
      </c>
      <c r="M11" s="31">
        <f>0.0484*1.052+0</f>
        <v>5.0916799999999998E-2</v>
      </c>
      <c r="N11" s="31">
        <f>0.0484*1.052+0.0053</f>
        <v>5.6216799999999997E-2</v>
      </c>
      <c r="O11" s="31">
        <f>0.0484*1.052+0.0429</f>
        <v>9.3816800000000006E-2</v>
      </c>
      <c r="P11" s="31">
        <f>0.0484*1.052+0.085</f>
        <v>0.1359168</v>
      </c>
      <c r="Q11" s="31">
        <f>0.0484*1.052+0.1452</f>
        <v>0.19611679999999998</v>
      </c>
      <c r="R11" s="31">
        <f>0.0484*1.052+0.1965</f>
        <v>0.24741679999999999</v>
      </c>
      <c r="S11" s="31">
        <f>0.0484*1.052+0.5044</f>
        <v>0.55531679999999994</v>
      </c>
      <c r="T11" s="31">
        <f>0.0484*1.052+0.5839</f>
        <v>0.63481679999999996</v>
      </c>
      <c r="U11" s="34">
        <f>0.0484*1.052+0.6677</f>
        <v>0.71861679999999994</v>
      </c>
      <c r="V11" s="34">
        <f>0.0484*1.052+0.753</f>
        <v>0.80391679999999999</v>
      </c>
    </row>
    <row r="12" spans="1:22" ht="15" customHeight="1" x14ac:dyDescent="0.25">
      <c r="A12" s="30" t="s">
        <v>40</v>
      </c>
      <c r="B12" s="31">
        <v>0.93600000000000005</v>
      </c>
      <c r="C12" s="31">
        <v>1.371</v>
      </c>
      <c r="D12" s="31">
        <v>1.6739999999999999</v>
      </c>
      <c r="E12" s="31">
        <v>1.8140000000000001</v>
      </c>
      <c r="F12" s="31">
        <v>1.881</v>
      </c>
      <c r="G12" s="31">
        <v>1.7490000000000001</v>
      </c>
      <c r="H12" s="31">
        <v>1.385</v>
      </c>
      <c r="I12" s="31">
        <v>1.2370000000000001</v>
      </c>
      <c r="J12" s="31">
        <v>1.1140000000000001</v>
      </c>
      <c r="K12" s="32">
        <v>1.0029999999999999</v>
      </c>
      <c r="L12" s="33" t="s">
        <v>40</v>
      </c>
      <c r="M12" s="31">
        <f>0.0719*1.052+0.0022</f>
        <v>7.78388E-2</v>
      </c>
      <c r="N12" s="31">
        <f>0.0719*1.052+0</f>
        <v>7.5638800000000006E-2</v>
      </c>
      <c r="O12" s="31">
        <f>0.0719*1.052+0.0323</f>
        <v>0.1079388</v>
      </c>
      <c r="P12" s="31">
        <f>0.0719*1.052+0.0706</f>
        <v>0.1462388</v>
      </c>
      <c r="Q12" s="31">
        <f>0.0719*1.052+0.1492</f>
        <v>0.22483880000000001</v>
      </c>
      <c r="R12" s="31">
        <f>0.0719*1.052+0.2253</f>
        <v>0.30093880000000001</v>
      </c>
      <c r="S12" s="31">
        <f>0.0719*1.052+0.4973</f>
        <v>0.57293879999999997</v>
      </c>
      <c r="T12" s="31">
        <f>0.0719*1.052+0.5759</f>
        <v>0.65153879999999997</v>
      </c>
      <c r="U12" s="34">
        <f>0.0719*1.052+0.6587</f>
        <v>0.73433879999999996</v>
      </c>
      <c r="V12" s="34">
        <f>0.0719*1.052+0.7428</f>
        <v>0.81843880000000002</v>
      </c>
    </row>
    <row r="13" spans="1:22" ht="15" customHeight="1" x14ac:dyDescent="0.25">
      <c r="A13" s="30" t="s">
        <v>41</v>
      </c>
      <c r="B13" s="31">
        <v>1.032</v>
      </c>
      <c r="C13" s="31">
        <v>1.462</v>
      </c>
      <c r="D13" s="31">
        <v>1.748</v>
      </c>
      <c r="E13" s="31">
        <v>1.8540000000000001</v>
      </c>
      <c r="F13" s="31">
        <v>1.9039999999999999</v>
      </c>
      <c r="G13" s="31">
        <v>1.772</v>
      </c>
      <c r="H13" s="31">
        <v>1.3979999999999999</v>
      </c>
      <c r="I13" s="31">
        <v>1.2470000000000001</v>
      </c>
      <c r="J13" s="31">
        <v>1.1220000000000001</v>
      </c>
      <c r="K13" s="32">
        <v>1.01</v>
      </c>
      <c r="L13" s="33" t="s">
        <v>41</v>
      </c>
      <c r="M13" s="31">
        <f>0.0671*1.052+0.001</f>
        <v>7.1589200000000006E-2</v>
      </c>
      <c r="N13" s="31">
        <f>0.0671*1.052+0</f>
        <v>7.0589200000000005E-2</v>
      </c>
      <c r="O13" s="31">
        <f>0.0671*1.052+0.0297</f>
        <v>0.10028920000000001</v>
      </c>
      <c r="P13" s="31">
        <f>0.0671*1.052+0.0677</f>
        <v>0.1382892</v>
      </c>
      <c r="Q13" s="31">
        <f>0.0671*1.052+0.1448</f>
        <v>0.2153892</v>
      </c>
      <c r="R13" s="31">
        <f>0.0671*1.052+0.2116</f>
        <v>0.28218920000000003</v>
      </c>
      <c r="S13" s="31">
        <f>0.0671*1.052+0.5182</f>
        <v>0.58878920000000001</v>
      </c>
      <c r="T13" s="31">
        <f>0.0671*1.052+0.596</f>
        <v>0.66658919999999999</v>
      </c>
      <c r="U13" s="34">
        <f>0.0671*1.052+0.6778</f>
        <v>0.74838919999999998</v>
      </c>
      <c r="V13" s="34">
        <f>0.0671*1.052+0.7608</f>
        <v>0.83138920000000005</v>
      </c>
    </row>
    <row r="14" spans="1:22" ht="15" customHeight="1" x14ac:dyDescent="0.25">
      <c r="A14" s="30" t="s">
        <v>42</v>
      </c>
      <c r="B14" s="31">
        <v>1.129</v>
      </c>
      <c r="C14" s="31">
        <v>1.554</v>
      </c>
      <c r="D14" s="31">
        <v>1.821</v>
      </c>
      <c r="E14" s="31">
        <v>1.8939999999999999</v>
      </c>
      <c r="F14" s="31">
        <v>1.927</v>
      </c>
      <c r="G14" s="31">
        <v>1.796</v>
      </c>
      <c r="H14" s="31">
        <v>1.4119999999999999</v>
      </c>
      <c r="I14" s="31">
        <v>1.2569999999999999</v>
      </c>
      <c r="J14" s="31">
        <v>1.1299999999999999</v>
      </c>
      <c r="K14" s="32">
        <v>1.016</v>
      </c>
      <c r="L14" s="33" t="s">
        <v>42</v>
      </c>
      <c r="M14" s="31">
        <f>0.0622*1.052+0</f>
        <v>6.5434400000000004E-2</v>
      </c>
      <c r="N14" s="31">
        <f>0.0622*1.052+0.0001</f>
        <v>6.5534400000000007E-2</v>
      </c>
      <c r="O14" s="31">
        <f>0.0622*1.052+0.0272</f>
        <v>9.2634400000000006E-2</v>
      </c>
      <c r="P14" s="31">
        <f>0.0622*1.052+0.0649</f>
        <v>0.13033440000000002</v>
      </c>
      <c r="Q14" s="31">
        <f>0.0622*1.052+0.1405</f>
        <v>0.20593440000000002</v>
      </c>
      <c r="R14" s="31">
        <f>0.0622*1.052+0.198</f>
        <v>0.26343440000000001</v>
      </c>
      <c r="S14" s="31">
        <f>0.0622*1.052+0.5393</f>
        <v>0.60473440000000001</v>
      </c>
      <c r="T14" s="31">
        <f>0.0622*1.052+0.6162</f>
        <v>0.68163439999999997</v>
      </c>
      <c r="U14" s="34">
        <f>0.0622*1.052+0.697</f>
        <v>0.76243439999999996</v>
      </c>
      <c r="V14" s="34">
        <f>0.0622*1.052+0.7789</f>
        <v>0.84433440000000004</v>
      </c>
    </row>
    <row r="15" spans="1:22" ht="15" customHeight="1" x14ac:dyDescent="0.25">
      <c r="A15" s="30" t="s">
        <v>43</v>
      </c>
      <c r="B15" s="31">
        <v>1.218</v>
      </c>
      <c r="C15" s="31">
        <v>1.631</v>
      </c>
      <c r="D15" s="31">
        <v>1.887</v>
      </c>
      <c r="E15" s="31">
        <v>1.946</v>
      </c>
      <c r="F15" s="31">
        <v>1.9490000000000001</v>
      </c>
      <c r="G15" s="31">
        <v>1.821</v>
      </c>
      <c r="H15" s="31">
        <v>1.4339999999999999</v>
      </c>
      <c r="I15" s="31">
        <v>1.274</v>
      </c>
      <c r="J15" s="31">
        <v>1.143</v>
      </c>
      <c r="K15" s="32">
        <v>1.026</v>
      </c>
      <c r="L15" s="33" t="s">
        <v>43</v>
      </c>
      <c r="M15" s="31">
        <f>0.0562*1.052+0</f>
        <v>5.9122400000000006E-2</v>
      </c>
      <c r="N15" s="31">
        <f>0.0562*1.052+0.0007</f>
        <v>5.9822400000000005E-2</v>
      </c>
      <c r="O15" s="31">
        <f>0.0562*1.052+0.026</f>
        <v>8.5122400000000001E-2</v>
      </c>
      <c r="P15" s="31">
        <f>0.0562*1.052+0.0667</f>
        <v>0.1258224</v>
      </c>
      <c r="Q15" s="31">
        <f>0.0562*1.052+0.1401</f>
        <v>0.19922240000000002</v>
      </c>
      <c r="R15" s="31">
        <f>0.0562*1.052+0.3371</f>
        <v>0.39622240000000003</v>
      </c>
      <c r="S15" s="31">
        <f>0.0562*1.052+0.5292</f>
        <v>0.58832240000000002</v>
      </c>
      <c r="T15" s="31">
        <f>0.0562*1.052+0.6069</f>
        <v>0.66602240000000001</v>
      </c>
      <c r="U15" s="34">
        <f>0.0562*1.052+0.6887</f>
        <v>0.7478224</v>
      </c>
      <c r="V15" s="34">
        <f>0.0562*1.052+0.7717</f>
        <v>0.83082240000000007</v>
      </c>
    </row>
    <row r="16" spans="1:22" ht="15" customHeight="1" x14ac:dyDescent="0.25">
      <c r="A16" s="30" t="s">
        <v>44</v>
      </c>
      <c r="B16" s="31">
        <v>1.3069999999999999</v>
      </c>
      <c r="C16" s="31">
        <v>1.7090000000000001</v>
      </c>
      <c r="D16" s="31">
        <v>1.954</v>
      </c>
      <c r="E16" s="31">
        <v>1.9970000000000001</v>
      </c>
      <c r="F16" s="31">
        <v>1.9710000000000001</v>
      </c>
      <c r="G16" s="31">
        <v>1.8460000000000001</v>
      </c>
      <c r="H16" s="31">
        <v>1.456</v>
      </c>
      <c r="I16" s="31">
        <v>1.292</v>
      </c>
      <c r="J16" s="31">
        <v>1.157</v>
      </c>
      <c r="K16" s="32">
        <v>1.036</v>
      </c>
      <c r="L16" s="33" t="s">
        <v>44</v>
      </c>
      <c r="M16" s="31">
        <f>0.0503*1.052+0</f>
        <v>5.29156E-2</v>
      </c>
      <c r="N16" s="31">
        <f>0.0503*1.052+0.0013</f>
        <v>5.4215600000000003E-2</v>
      </c>
      <c r="O16" s="31">
        <f>0.0503*1.052+0.0248</f>
        <v>7.7715599999999996E-2</v>
      </c>
      <c r="P16" s="31">
        <f>0.0503*1.052+0.0684</f>
        <v>0.1213156</v>
      </c>
      <c r="Q16" s="31">
        <f>0.0503*1.052+0.1397</f>
        <v>0.1926156</v>
      </c>
      <c r="R16" s="31">
        <f>0.0503*1.052+0.4763</f>
        <v>0.52921560000000001</v>
      </c>
      <c r="S16" s="31">
        <f>0.0503*1.052+0.5191</f>
        <v>0.57201559999999996</v>
      </c>
      <c r="T16" s="31">
        <f>0.0503*1.052+0.5977</f>
        <v>0.65061559999999996</v>
      </c>
      <c r="U16" s="34">
        <f>0.0503*1.052+0.6805</f>
        <v>0.73341559999999995</v>
      </c>
      <c r="V16" s="34">
        <f>0.0503*1.052+0.7646</f>
        <v>0.8175155999999999</v>
      </c>
    </row>
    <row r="17" spans="1:22" ht="15" customHeight="1" x14ac:dyDescent="0.25">
      <c r="A17" s="30" t="s">
        <v>45</v>
      </c>
      <c r="B17" s="31">
        <v>1.38</v>
      </c>
      <c r="C17" s="31">
        <v>1.776</v>
      </c>
      <c r="D17" s="31">
        <v>2.0099999999999998</v>
      </c>
      <c r="E17" s="31">
        <v>2.044</v>
      </c>
      <c r="F17" s="31">
        <v>1.9930000000000001</v>
      </c>
      <c r="G17" s="31">
        <v>1.8580000000000001</v>
      </c>
      <c r="H17" s="31">
        <v>1.464</v>
      </c>
      <c r="I17" s="31">
        <v>1.2989999999999999</v>
      </c>
      <c r="J17" s="31">
        <v>1.1619999999999999</v>
      </c>
      <c r="K17" s="32">
        <v>1.04</v>
      </c>
      <c r="L17" s="33" t="s">
        <v>45</v>
      </c>
      <c r="M17" s="31">
        <f>0.0443*1.052+0</f>
        <v>4.6603600000000002E-2</v>
      </c>
      <c r="N17" s="31">
        <f>0.0443*1.052+0.0024</f>
        <v>4.9003600000000001E-2</v>
      </c>
      <c r="O17" s="31">
        <f>0.0443*1.052+0.0244</f>
        <v>7.10036E-2</v>
      </c>
      <c r="P17" s="31">
        <f>0.0443*1.052+0.0721</f>
        <v>0.11870359999999999</v>
      </c>
      <c r="Q17" s="31">
        <f>0.0443*1.052+0.1428</f>
        <v>0.18940360000000001</v>
      </c>
      <c r="R17" s="31">
        <f>0.0443*1.052+0.5</f>
        <v>0.54660359999999997</v>
      </c>
      <c r="S17" s="31">
        <f>0.0443*1.052+0.5437</f>
        <v>0.59030359999999993</v>
      </c>
      <c r="T17" s="31">
        <f>0.0443*1.052+0.6213</f>
        <v>0.66790359999999993</v>
      </c>
      <c r="U17" s="34">
        <f>0.0443*1.052+0.7029</f>
        <v>0.74950359999999994</v>
      </c>
      <c r="V17" s="34">
        <f>0.0443*1.052+0.7857</f>
        <v>0.83230359999999992</v>
      </c>
    </row>
    <row r="18" spans="1:22" ht="15" customHeight="1" x14ac:dyDescent="0.25">
      <c r="A18" s="30" t="s">
        <v>46</v>
      </c>
      <c r="B18" s="31">
        <v>1.4530000000000001</v>
      </c>
      <c r="C18" s="31">
        <v>1.843</v>
      </c>
      <c r="D18" s="31">
        <v>2.0649999999999999</v>
      </c>
      <c r="E18" s="31">
        <v>2.09</v>
      </c>
      <c r="F18" s="31">
        <v>2.016</v>
      </c>
      <c r="G18" s="31">
        <v>1.869</v>
      </c>
      <c r="H18" s="31">
        <v>1.4730000000000001</v>
      </c>
      <c r="I18" s="31">
        <v>1.3049999999999999</v>
      </c>
      <c r="J18" s="31">
        <v>1.167</v>
      </c>
      <c r="K18" s="32">
        <v>1.044</v>
      </c>
      <c r="L18" s="33" t="s">
        <v>46</v>
      </c>
      <c r="M18" s="31">
        <f>0.0384*1.052+0</f>
        <v>4.0396799999999997E-2</v>
      </c>
      <c r="N18" s="31">
        <f>0.0384*1.052+0.0036</f>
        <v>4.3996799999999996E-2</v>
      </c>
      <c r="O18" s="31">
        <f>0.0384*1.052+0.0241</f>
        <v>6.4496799999999993E-2</v>
      </c>
      <c r="P18" s="31">
        <f>0.0384*1.052+0.0757</f>
        <v>0.1160968</v>
      </c>
      <c r="Q18" s="31">
        <f>0.0384*1.052+0.146</f>
        <v>0.18639679999999997</v>
      </c>
      <c r="R18" s="31">
        <f>0.0384*1.052+0.5238</f>
        <v>0.56419680000000005</v>
      </c>
      <c r="S18" s="31">
        <f>0.0384*1.052+0.5682</f>
        <v>0.60859680000000005</v>
      </c>
      <c r="T18" s="31">
        <f>0.0384*1.052+0.6448</f>
        <v>0.68519680000000005</v>
      </c>
      <c r="U18" s="34">
        <f>0.0384*1.052+0.7253</f>
        <v>0.76569679999999996</v>
      </c>
      <c r="V18" s="34">
        <f>0.0384*1.052+0.8069</f>
        <v>0.84729679999999996</v>
      </c>
    </row>
    <row r="19" spans="1:22" ht="15" customHeight="1" x14ac:dyDescent="0.25">
      <c r="A19" s="30" t="s">
        <v>47</v>
      </c>
      <c r="B19" s="31">
        <v>1.526</v>
      </c>
      <c r="C19" s="31">
        <v>1.91</v>
      </c>
      <c r="D19" s="31">
        <v>2.121</v>
      </c>
      <c r="E19" s="31">
        <v>2.137</v>
      </c>
      <c r="F19" s="31">
        <v>2.0379999999999998</v>
      </c>
      <c r="G19" s="31">
        <v>1.881</v>
      </c>
      <c r="H19" s="31">
        <v>1.4810000000000001</v>
      </c>
      <c r="I19" s="31">
        <v>1.3120000000000001</v>
      </c>
      <c r="J19" s="31">
        <v>1.1719999999999999</v>
      </c>
      <c r="K19" s="32">
        <v>1.048</v>
      </c>
      <c r="L19" s="33" t="s">
        <v>47</v>
      </c>
      <c r="M19" s="31">
        <f>0.0324*1.052+0</f>
        <v>3.4084799999999998E-2</v>
      </c>
      <c r="N19" s="31">
        <f>0.0324*1.052+0.0047</f>
        <v>3.8784800000000001E-2</v>
      </c>
      <c r="O19" s="31">
        <f>0.0324*1.052+0.0237</f>
        <v>5.7784799999999997E-2</v>
      </c>
      <c r="P19" s="31">
        <f>0.0324*1.052+0.0794</f>
        <v>0.1134848</v>
      </c>
      <c r="Q19" s="31">
        <f>0.0324*1.052+0.1491</f>
        <v>0.18318480000000001</v>
      </c>
      <c r="R19" s="31">
        <f>0.0324*1.052+0.5475</f>
        <v>0.58158480000000001</v>
      </c>
      <c r="S19" s="31">
        <f>0.0324*1.052+0.5928</f>
        <v>0.62688480000000002</v>
      </c>
      <c r="T19" s="31">
        <f>0.0324*1.052+0.6684</f>
        <v>0.70248480000000002</v>
      </c>
      <c r="U19" s="34">
        <f>0.0324*1.052+0.7477</f>
        <v>0.78178480000000006</v>
      </c>
      <c r="V19" s="34">
        <f>0.0324*1.052+0.828</f>
        <v>0.86208479999999998</v>
      </c>
    </row>
    <row r="22" spans="1:22" ht="15" customHeight="1" x14ac:dyDescent="0.25">
      <c r="A22" s="35"/>
    </row>
    <row r="23" spans="1:22" ht="15" customHeight="1" x14ac:dyDescent="0.25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</row>
    <row r="24" spans="1:22" ht="15" customHeight="1" x14ac:dyDescent="0.25">
      <c r="A24" s="37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</row>
    <row r="25" spans="1:22" ht="15" customHeight="1" x14ac:dyDescent="0.25">
      <c r="A25" s="37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</row>
    <row r="26" spans="1:22" ht="15" customHeight="1" x14ac:dyDescent="0.25">
      <c r="A26" s="37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</row>
    <row r="27" spans="1:22" ht="15" customHeight="1" x14ac:dyDescent="0.25">
      <c r="A27" s="37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</row>
    <row r="28" spans="1:22" ht="15" customHeight="1" x14ac:dyDescent="0.25">
      <c r="A28" s="37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</row>
    <row r="29" spans="1:22" ht="15" customHeight="1" x14ac:dyDescent="0.25">
      <c r="A29" s="37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</row>
    <row r="30" spans="1:22" ht="15" customHeight="1" x14ac:dyDescent="0.25">
      <c r="A30" s="37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</row>
    <row r="31" spans="1:22" ht="15" customHeight="1" x14ac:dyDescent="0.25">
      <c r="A31" s="37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</row>
    <row r="32" spans="1:22" ht="15" customHeight="1" x14ac:dyDescent="0.25">
      <c r="A32" s="37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</row>
    <row r="33" spans="1:16" ht="15" customHeight="1" x14ac:dyDescent="0.25">
      <c r="A33" s="37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</row>
    <row r="34" spans="1:16" ht="15" customHeight="1" x14ac:dyDescent="0.25">
      <c r="A34" s="37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</row>
    <row r="35" spans="1:16" ht="15" customHeight="1" x14ac:dyDescent="0.25">
      <c r="A35" s="37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</row>
    <row r="36" spans="1:16" ht="15" customHeight="1" x14ac:dyDescent="0.25">
      <c r="A36" s="37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</row>
    <row r="37" spans="1:16" ht="15" customHeight="1" x14ac:dyDescent="0.25">
      <c r="A37" s="37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</row>
    <row r="38" spans="1:16" ht="15" customHeight="1" x14ac:dyDescent="0.25">
      <c r="A38" s="37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</row>
    <row r="39" spans="1:16" ht="15" customHeight="1" x14ac:dyDescent="0.25">
      <c r="A39" s="37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</row>
    <row r="40" spans="1:16" ht="15" customHeight="1" x14ac:dyDescent="0.25">
      <c r="A40" s="37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</row>
    <row r="41" spans="1:16" ht="15" customHeight="1" x14ac:dyDescent="0.25">
      <c r="A41" s="37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</row>
    <row r="42" spans="1:16" ht="15" customHeight="1" x14ac:dyDescent="0.25">
      <c r="A42" s="37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</row>
    <row r="43" spans="1:16" ht="15" customHeight="1" x14ac:dyDescent="0.25">
      <c r="A43" s="37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</row>
    <row r="44" spans="1:16" ht="15" customHeight="1" x14ac:dyDescent="0.25">
      <c r="A44" s="37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</row>
    <row r="45" spans="1:16" ht="15" customHeight="1" x14ac:dyDescent="0.25">
      <c r="A45" s="37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</row>
    <row r="46" spans="1:16" ht="15" customHeight="1" x14ac:dyDescent="0.25">
      <c r="A46" s="37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</row>
    <row r="47" spans="1:16" ht="15" customHeight="1" x14ac:dyDescent="0.25">
      <c r="A47" s="37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</row>
    <row r="48" spans="1:16" ht="15" customHeight="1" x14ac:dyDescent="0.25">
      <c r="A48" s="37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</row>
    <row r="49" spans="1:16" ht="15" customHeight="1" x14ac:dyDescent="0.25">
      <c r="A49" s="37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</row>
    <row r="50" spans="1:16" ht="15" customHeight="1" x14ac:dyDescent="0.25">
      <c r="A50" s="37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</row>
    <row r="51" spans="1:16" ht="15" customHeight="1" x14ac:dyDescent="0.25">
      <c r="A51" s="37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</row>
    <row r="52" spans="1:16" ht="15" customHeight="1" x14ac:dyDescent="0.25">
      <c r="A52" s="37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</row>
    <row r="53" spans="1:16" ht="15" customHeight="1" x14ac:dyDescent="0.25">
      <c r="A53" s="37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</row>
    <row r="54" spans="1:16" ht="15" customHeight="1" x14ac:dyDescent="0.25">
      <c r="A54" s="37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</row>
    <row r="55" spans="1:16" ht="15" customHeight="1" x14ac:dyDescent="0.25">
      <c r="A55" s="37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</row>
    <row r="56" spans="1:16" ht="15" customHeight="1" x14ac:dyDescent="0.25">
      <c r="A56" s="37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</row>
    <row r="57" spans="1:16" ht="15" customHeight="1" x14ac:dyDescent="0.25">
      <c r="A57" s="37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</row>
    <row r="58" spans="1:16" ht="15" customHeight="1" x14ac:dyDescent="0.25">
      <c r="A58" s="37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</row>
    <row r="59" spans="1:16" ht="15" customHeight="1" x14ac:dyDescent="0.25">
      <c r="A59" s="37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</row>
    <row r="60" spans="1:16" ht="15" customHeight="1" x14ac:dyDescent="0.25">
      <c r="A60" s="37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</row>
    <row r="61" spans="1:16" ht="15" customHeight="1" x14ac:dyDescent="0.25">
      <c r="A61" s="37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</row>
    <row r="62" spans="1:16" ht="15" customHeight="1" x14ac:dyDescent="0.25">
      <c r="A62" s="37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</row>
    <row r="63" spans="1:16" ht="15" customHeight="1" x14ac:dyDescent="0.25">
      <c r="A63" s="37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</row>
    <row r="64" spans="1:16" ht="15" customHeight="1" x14ac:dyDescent="0.25">
      <c r="A64" s="37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</row>
    <row r="65" spans="1:16" ht="15" customHeight="1" x14ac:dyDescent="0.25">
      <c r="A65" s="37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</row>
    <row r="66" spans="1:16" ht="15" customHeight="1" x14ac:dyDescent="0.25">
      <c r="A66" s="37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</row>
    <row r="67" spans="1:16" ht="15" customHeight="1" x14ac:dyDescent="0.25">
      <c r="A67" s="37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</row>
    <row r="68" spans="1:16" ht="15" customHeight="1" x14ac:dyDescent="0.25">
      <c r="A68" s="37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</row>
    <row r="69" spans="1:16" ht="15" customHeight="1" x14ac:dyDescent="0.25">
      <c r="A69" s="37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</row>
  </sheetData>
  <conditionalFormatting sqref="B4:K19">
    <cfRule type="colorScale" priority="2">
      <colorScale>
        <cfvo type="min"/>
        <cfvo type="percentile" val="50"/>
        <cfvo type="max"/>
        <color rgb="FFEBF5FB"/>
        <color rgb="FF2980B9"/>
        <color rgb="FF1A5276"/>
      </colorScale>
    </cfRule>
  </conditionalFormatting>
  <conditionalFormatting sqref="M4:V19">
    <cfRule type="colorScale" priority="3">
      <colorScale>
        <cfvo type="min"/>
        <cfvo type="percentile" val="50"/>
        <cfvo type="max"/>
        <color rgb="FFE9F7EF"/>
        <color rgb="FFF39C12"/>
        <color rgb="FF922B21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69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7109375" defaultRowHeight="15" x14ac:dyDescent="0.25"/>
  <cols>
    <col min="1" max="1" width="8" style="1" customWidth="1"/>
    <col min="2" max="17" width="7" style="1" customWidth="1"/>
    <col min="18" max="22" width="8" style="1" customWidth="1"/>
  </cols>
  <sheetData>
    <row r="1" spans="1:22" ht="19.5" customHeight="1" x14ac:dyDescent="0.25">
      <c r="A1" s="25" t="s">
        <v>54</v>
      </c>
    </row>
    <row r="2" spans="1:22" ht="15" customHeight="1" x14ac:dyDescent="0.25">
      <c r="B2" s="26" t="s">
        <v>19</v>
      </c>
      <c r="L2" s="27"/>
      <c r="M2" s="11" t="s">
        <v>20</v>
      </c>
    </row>
    <row r="3" spans="1:22" ht="15" customHeight="1" x14ac:dyDescent="0.25">
      <c r="A3" s="28" t="s">
        <v>21</v>
      </c>
      <c r="B3" s="28" t="s">
        <v>22</v>
      </c>
      <c r="C3" s="28" t="s">
        <v>23</v>
      </c>
      <c r="D3" s="28" t="s">
        <v>24</v>
      </c>
      <c r="E3" s="28" t="s">
        <v>25</v>
      </c>
      <c r="F3" s="28" t="s">
        <v>26</v>
      </c>
      <c r="G3" s="28" t="s">
        <v>27</v>
      </c>
      <c r="H3" s="28" t="s">
        <v>28</v>
      </c>
      <c r="I3" s="28" t="s">
        <v>29</v>
      </c>
      <c r="J3" s="28" t="s">
        <v>30</v>
      </c>
      <c r="K3" s="29" t="s">
        <v>31</v>
      </c>
      <c r="L3" s="28" t="s">
        <v>21</v>
      </c>
      <c r="M3" s="28" t="s">
        <v>22</v>
      </c>
      <c r="N3" s="28" t="s">
        <v>23</v>
      </c>
      <c r="O3" s="28" t="s">
        <v>24</v>
      </c>
      <c r="P3" s="28" t="s">
        <v>25</v>
      </c>
      <c r="Q3" s="28" t="s">
        <v>26</v>
      </c>
      <c r="R3" s="28" t="s">
        <v>27</v>
      </c>
      <c r="S3" s="28" t="s">
        <v>28</v>
      </c>
      <c r="T3" s="28" t="s">
        <v>29</v>
      </c>
      <c r="U3" s="29" t="s">
        <v>30</v>
      </c>
      <c r="V3" s="29" t="s">
        <v>31</v>
      </c>
    </row>
    <row r="4" spans="1:22" ht="15" customHeight="1" x14ac:dyDescent="0.25">
      <c r="A4" s="30" t="s">
        <v>32</v>
      </c>
      <c r="B4" s="31">
        <v>0</v>
      </c>
      <c r="C4" s="31">
        <v>0.52700000000000002</v>
      </c>
      <c r="D4" s="31">
        <v>1.022</v>
      </c>
      <c r="E4" s="31">
        <v>1.407</v>
      </c>
      <c r="F4" s="31">
        <v>1.6180000000000001</v>
      </c>
      <c r="G4" s="31">
        <v>1.4370000000000001</v>
      </c>
      <c r="H4" s="31">
        <v>1.2310000000000001</v>
      </c>
      <c r="I4" s="31">
        <v>1.117</v>
      </c>
      <c r="J4" s="31">
        <v>1.02</v>
      </c>
      <c r="K4" s="32">
        <v>0.93100000000000005</v>
      </c>
      <c r="L4" s="33" t="s">
        <v>32</v>
      </c>
      <c r="M4" s="31">
        <f>0.01*1.024+0</f>
        <v>1.0240000000000001E-2</v>
      </c>
      <c r="N4" s="31">
        <f>0.01*1.024+0.0257</f>
        <v>3.594E-2</v>
      </c>
      <c r="O4" s="31">
        <f>0.01*1.024+0.0966</f>
        <v>0.10684</v>
      </c>
      <c r="P4" s="31">
        <f>0.01*1.024+0.183</f>
        <v>0.19324</v>
      </c>
      <c r="Q4" s="31">
        <f>0.01*1.024+0.2421</f>
        <v>0.25234000000000001</v>
      </c>
      <c r="R4" s="31">
        <f>0.01*1.024+0.1909</f>
        <v>0.20113999999999999</v>
      </c>
      <c r="S4" s="31">
        <f>0.01*1.024+0.418</f>
        <v>0.42824000000000001</v>
      </c>
      <c r="T4" s="31">
        <f>0.01*1.024+0.5043</f>
        <v>0.51454</v>
      </c>
      <c r="U4" s="34">
        <f>0.01*1.024+0.5957</f>
        <v>0.60594000000000003</v>
      </c>
      <c r="V4" s="34">
        <f>0.01*1.024+0.6894</f>
        <v>0.69964000000000004</v>
      </c>
    </row>
    <row r="5" spans="1:22" ht="15" customHeight="1" x14ac:dyDescent="0.25">
      <c r="A5" s="30" t="s">
        <v>33</v>
      </c>
      <c r="B5" s="31">
        <v>0.126</v>
      </c>
      <c r="C5" s="31">
        <v>0.64700000000000002</v>
      </c>
      <c r="D5" s="31">
        <v>1.109</v>
      </c>
      <c r="E5" s="31">
        <v>1.47</v>
      </c>
      <c r="F5" s="31">
        <v>1.661</v>
      </c>
      <c r="G5" s="31">
        <v>1.49</v>
      </c>
      <c r="H5" s="31">
        <v>1.256</v>
      </c>
      <c r="I5" s="31">
        <v>1.1359999999999999</v>
      </c>
      <c r="J5" s="31">
        <v>1.0349999999999999</v>
      </c>
      <c r="K5" s="32">
        <v>0.94299999999999995</v>
      </c>
      <c r="L5" s="33" t="s">
        <v>33</v>
      </c>
      <c r="M5" s="31">
        <f>0.0121*1.024+0</f>
        <v>1.2390399999999999E-2</v>
      </c>
      <c r="N5" s="31">
        <f>0.0121*1.024+0.0242</f>
        <v>3.6590399999999995E-2</v>
      </c>
      <c r="O5" s="31">
        <f>0.0121*1.024+0.0892</f>
        <v>0.1015904</v>
      </c>
      <c r="P5" s="31">
        <f>0.0121*1.024+0.1688</f>
        <v>0.1811904</v>
      </c>
      <c r="Q5" s="31">
        <f>0.0121*1.024+0.2238</f>
        <v>0.23619039999999999</v>
      </c>
      <c r="R5" s="31">
        <f>0.0121*1.024+0.1865</f>
        <v>0.19889039999999999</v>
      </c>
      <c r="S5" s="31">
        <f>0.0121*1.024+0.4328</f>
        <v>0.44519040000000004</v>
      </c>
      <c r="T5" s="31">
        <f>0.0121*1.024+0.5182</f>
        <v>0.53059040000000002</v>
      </c>
      <c r="U5" s="34">
        <f>0.0121*1.024+0.6086</f>
        <v>0.62099040000000005</v>
      </c>
      <c r="V5" s="34">
        <f>0.0121*1.024+0.7011</f>
        <v>0.71349039999999997</v>
      </c>
    </row>
    <row r="6" spans="1:22" ht="15" customHeight="1" x14ac:dyDescent="0.25">
      <c r="A6" s="30" t="s">
        <v>34</v>
      </c>
      <c r="B6" s="31">
        <v>0.252</v>
      </c>
      <c r="C6" s="31">
        <v>0.76600000000000001</v>
      </c>
      <c r="D6" s="31">
        <v>1.196</v>
      </c>
      <c r="E6" s="31">
        <v>1.534</v>
      </c>
      <c r="F6" s="31">
        <v>1.704</v>
      </c>
      <c r="G6" s="31">
        <v>1.5429999999999999</v>
      </c>
      <c r="H6" s="31">
        <v>1.2809999999999999</v>
      </c>
      <c r="I6" s="31">
        <v>1.155</v>
      </c>
      <c r="J6" s="31">
        <v>1.05</v>
      </c>
      <c r="K6" s="32">
        <v>0.95399999999999996</v>
      </c>
      <c r="L6" s="33" t="s">
        <v>34</v>
      </c>
      <c r="M6" s="31">
        <f>0.0142*1.024+0</f>
        <v>1.4540800000000001E-2</v>
      </c>
      <c r="N6" s="31">
        <f>0.0142*1.024+0.0226</f>
        <v>3.7140800000000002E-2</v>
      </c>
      <c r="O6" s="31">
        <f>0.0142*1.024+0.0818</f>
        <v>9.6340800000000004E-2</v>
      </c>
      <c r="P6" s="31">
        <f>0.0142*1.024+0.1545</f>
        <v>0.16904079999999999</v>
      </c>
      <c r="Q6" s="31">
        <f>0.0142*1.024+0.2054</f>
        <v>0.21994079999999999</v>
      </c>
      <c r="R6" s="31">
        <f>0.0142*1.024+0.1821</f>
        <v>0.1966408</v>
      </c>
      <c r="S6" s="31">
        <f>0.0142*1.024+0.4477</f>
        <v>0.46224080000000001</v>
      </c>
      <c r="T6" s="31">
        <f>0.0142*1.024+0.5321</f>
        <v>0.54664080000000004</v>
      </c>
      <c r="U6" s="34">
        <f>0.0142*1.024+0.6215</f>
        <v>0.63604080000000007</v>
      </c>
      <c r="V6" s="34">
        <f>0.0142*1.024+0.7129</f>
        <v>0.7274408</v>
      </c>
    </row>
    <row r="7" spans="1:22" ht="15" customHeight="1" x14ac:dyDescent="0.25">
      <c r="A7" s="30" t="s">
        <v>35</v>
      </c>
      <c r="B7" s="31">
        <v>0.376</v>
      </c>
      <c r="C7" s="31">
        <v>0.873</v>
      </c>
      <c r="D7" s="31">
        <v>1.278</v>
      </c>
      <c r="E7" s="31">
        <v>1.591</v>
      </c>
      <c r="F7" s="31">
        <v>1.738</v>
      </c>
      <c r="G7" s="31">
        <v>1.585</v>
      </c>
      <c r="H7" s="31">
        <v>1.3009999999999999</v>
      </c>
      <c r="I7" s="31">
        <v>1.171</v>
      </c>
      <c r="J7" s="31">
        <v>1.0620000000000001</v>
      </c>
      <c r="K7" s="32">
        <v>0.96399999999999997</v>
      </c>
      <c r="L7" s="33" t="s">
        <v>35</v>
      </c>
      <c r="M7" s="31">
        <f>0.0163*1.024+0</f>
        <v>1.66912E-2</v>
      </c>
      <c r="N7" s="31">
        <f>0.0163*1.024+0.0201</f>
        <v>3.6791199999999996E-2</v>
      </c>
      <c r="O7" s="31">
        <f>0.0163*1.024+0.0745</f>
        <v>9.11912E-2</v>
      </c>
      <c r="P7" s="31">
        <f>0.0163*1.024+0.1407</f>
        <v>0.15739119999999998</v>
      </c>
      <c r="Q7" s="31">
        <f>0.0163*1.024+0.1882</f>
        <v>0.2048912</v>
      </c>
      <c r="R7" s="31">
        <f>0.0163*1.024+0.1778</f>
        <v>0.1944912</v>
      </c>
      <c r="S7" s="31">
        <f>0.0163*1.024+0.4618</f>
        <v>0.47849120000000001</v>
      </c>
      <c r="T7" s="31">
        <f>0.0163*1.024+0.5453</f>
        <v>0.56199120000000002</v>
      </c>
      <c r="U7" s="34">
        <f>0.0163*1.024+0.6338</f>
        <v>0.65049120000000005</v>
      </c>
      <c r="V7" s="34">
        <f>0.0163*1.024+0.724</f>
        <v>0.74069119999999999</v>
      </c>
    </row>
    <row r="8" spans="1:22" ht="15" customHeight="1" x14ac:dyDescent="0.25">
      <c r="A8" s="30" t="s">
        <v>36</v>
      </c>
      <c r="B8" s="31">
        <v>0.499</v>
      </c>
      <c r="C8" s="31">
        <v>0.97899999999999998</v>
      </c>
      <c r="D8" s="31">
        <v>1.36</v>
      </c>
      <c r="E8" s="31">
        <v>1.647</v>
      </c>
      <c r="F8" s="31">
        <v>1.7729999999999999</v>
      </c>
      <c r="G8" s="31">
        <v>1.627</v>
      </c>
      <c r="H8" s="31">
        <v>1.321</v>
      </c>
      <c r="I8" s="31">
        <v>1.1870000000000001</v>
      </c>
      <c r="J8" s="31">
        <v>1.075</v>
      </c>
      <c r="K8" s="32">
        <v>0.97299999999999998</v>
      </c>
      <c r="L8" s="33" t="s">
        <v>36</v>
      </c>
      <c r="M8" s="31">
        <f>0.0185*1.024+0</f>
        <v>1.8943999999999999E-2</v>
      </c>
      <c r="N8" s="31">
        <f>0.0185*1.024+0.0175</f>
        <v>3.6444000000000004E-2</v>
      </c>
      <c r="O8" s="31">
        <f>0.0185*1.024+0.0672</f>
        <v>8.6143999999999998E-2</v>
      </c>
      <c r="P8" s="31">
        <f>0.0185*1.024+0.1269</f>
        <v>0.145844</v>
      </c>
      <c r="Q8" s="31">
        <f>0.0185*1.024+0.171</f>
        <v>0.189944</v>
      </c>
      <c r="R8" s="31">
        <f>0.0185*1.024+0.1735</f>
        <v>0.19244399999999998</v>
      </c>
      <c r="S8" s="31">
        <f>0.0185*1.024+0.4759</f>
        <v>0.49484400000000001</v>
      </c>
      <c r="T8" s="31">
        <f>0.0185*1.024+0.5585</f>
        <v>0.57744399999999996</v>
      </c>
      <c r="U8" s="34">
        <f>0.0185*1.024+0.646</f>
        <v>0.66494399999999998</v>
      </c>
      <c r="V8" s="34">
        <f>0.0185*1.024+0.7351</f>
        <v>0.75404399999999994</v>
      </c>
    </row>
    <row r="9" spans="1:22" ht="15" customHeight="1" x14ac:dyDescent="0.25">
      <c r="A9" s="30" t="s">
        <v>37</v>
      </c>
      <c r="B9" s="31">
        <v>0.61399999999999999</v>
      </c>
      <c r="C9" s="31">
        <v>1.077</v>
      </c>
      <c r="D9" s="31">
        <v>1.44</v>
      </c>
      <c r="E9" s="31">
        <v>1.6919999999999999</v>
      </c>
      <c r="F9" s="31">
        <v>1.8009999999999999</v>
      </c>
      <c r="G9" s="31">
        <v>1.66</v>
      </c>
      <c r="H9" s="31">
        <v>1.3380000000000001</v>
      </c>
      <c r="I9" s="31">
        <v>1.2</v>
      </c>
      <c r="J9" s="31">
        <v>1.0860000000000001</v>
      </c>
      <c r="K9" s="32">
        <v>0.98099999999999998</v>
      </c>
      <c r="L9" s="33" t="s">
        <v>37</v>
      </c>
      <c r="M9" s="31">
        <f>0.0206*1.024+0</f>
        <v>2.1094399999999999E-2</v>
      </c>
      <c r="N9" s="31">
        <f>0.0206*1.024+0.0151</f>
        <v>3.6194400000000002E-2</v>
      </c>
      <c r="O9" s="31">
        <f>0.0206*1.024+0.0614</f>
        <v>8.2494399999999996E-2</v>
      </c>
      <c r="P9" s="31">
        <f>0.0206*1.024+0.1143</f>
        <v>0.1353944</v>
      </c>
      <c r="Q9" s="31">
        <f>0.0206*1.024+0.1573</f>
        <v>0.17839440000000001</v>
      </c>
      <c r="R9" s="31">
        <f>0.0206*1.024+0.1717</f>
        <v>0.19279439999999998</v>
      </c>
      <c r="S9" s="31">
        <f>0.0206*1.024+0.4948</f>
        <v>0.51589439999999998</v>
      </c>
      <c r="T9" s="31">
        <f>0.0206*1.024+0.5763</f>
        <v>0.59739439999999999</v>
      </c>
      <c r="U9" s="34">
        <f>0.0206*1.024+0.6624</f>
        <v>0.68349439999999995</v>
      </c>
      <c r="V9" s="34">
        <f>0.0206*1.024+0.7502</f>
        <v>0.77129439999999994</v>
      </c>
    </row>
    <row r="10" spans="1:22" ht="15" customHeight="1" x14ac:dyDescent="0.25">
      <c r="A10" s="30" t="s">
        <v>38</v>
      </c>
      <c r="B10" s="31">
        <v>0.72899999999999998</v>
      </c>
      <c r="C10" s="31">
        <v>1.175</v>
      </c>
      <c r="D10" s="31">
        <v>1.5189999999999999</v>
      </c>
      <c r="E10" s="31">
        <v>1.738</v>
      </c>
      <c r="F10" s="31">
        <v>1.83</v>
      </c>
      <c r="G10" s="31">
        <v>1.694</v>
      </c>
      <c r="H10" s="31">
        <v>1.355</v>
      </c>
      <c r="I10" s="31">
        <v>1.2130000000000001</v>
      </c>
      <c r="J10" s="31">
        <v>1.0960000000000001</v>
      </c>
      <c r="K10" s="32">
        <v>0.98899999999999999</v>
      </c>
      <c r="L10" s="33" t="s">
        <v>38</v>
      </c>
      <c r="M10" s="31">
        <f>0.0227*1.024+0</f>
        <v>2.3244800000000003E-2</v>
      </c>
      <c r="N10" s="31">
        <f>0.0227*1.024+0.0127</f>
        <v>3.5944799999999999E-2</v>
      </c>
      <c r="O10" s="31">
        <f>0.0227*1.024+0.0557</f>
        <v>7.8944800000000009E-2</v>
      </c>
      <c r="P10" s="31">
        <f>0.0227*1.024+0.1017</f>
        <v>0.12494479999999999</v>
      </c>
      <c r="Q10" s="31">
        <f>0.0227*1.024+0.1435</f>
        <v>0.1667448</v>
      </c>
      <c r="R10" s="31">
        <f>0.0227*1.024+0.1699</f>
        <v>0.19314480000000001</v>
      </c>
      <c r="S10" s="31">
        <f>0.0227*1.024+0.5137</f>
        <v>0.5369448</v>
      </c>
      <c r="T10" s="31">
        <f>0.0227*1.024+0.5941</f>
        <v>0.61734479999999992</v>
      </c>
      <c r="U10" s="34">
        <f>0.0227*1.024+0.6789</f>
        <v>0.7021447999999999</v>
      </c>
      <c r="V10" s="34">
        <f>0.0227*1.024+0.7653</f>
        <v>0.78854479999999993</v>
      </c>
    </row>
    <row r="11" spans="1:22" ht="15" customHeight="1" x14ac:dyDescent="0.25">
      <c r="A11" s="30" t="s">
        <v>39</v>
      </c>
      <c r="B11" s="31">
        <v>0.83299999999999996</v>
      </c>
      <c r="C11" s="31">
        <v>1.2729999999999999</v>
      </c>
      <c r="D11" s="31">
        <v>1.5960000000000001</v>
      </c>
      <c r="E11" s="31">
        <v>1.776</v>
      </c>
      <c r="F11" s="31">
        <v>1.8560000000000001</v>
      </c>
      <c r="G11" s="31">
        <v>1.722</v>
      </c>
      <c r="H11" s="31">
        <v>1.37</v>
      </c>
      <c r="I11" s="31">
        <v>1.2250000000000001</v>
      </c>
      <c r="J11" s="31">
        <v>1.105</v>
      </c>
      <c r="K11" s="32">
        <v>0.996</v>
      </c>
      <c r="L11" s="33" t="s">
        <v>39</v>
      </c>
      <c r="M11" s="31">
        <f>0.0484*1.024+0</f>
        <v>4.9561599999999997E-2</v>
      </c>
      <c r="N11" s="31">
        <f>0.0484*1.024+0.0053</f>
        <v>5.4861599999999996E-2</v>
      </c>
      <c r="O11" s="31">
        <f>0.0484*1.024+0.0429</f>
        <v>9.2461600000000005E-2</v>
      </c>
      <c r="P11" s="31">
        <f>0.0484*1.024+0.085</f>
        <v>0.1345616</v>
      </c>
      <c r="Q11" s="31">
        <f>0.0484*1.024+0.1452</f>
        <v>0.19476159999999998</v>
      </c>
      <c r="R11" s="31">
        <f>0.0484*1.024+0.1965</f>
        <v>0.24606159999999999</v>
      </c>
      <c r="S11" s="31">
        <f>0.0484*1.024+0.5044</f>
        <v>0.55396159999999994</v>
      </c>
      <c r="T11" s="31">
        <f>0.0484*1.024+0.5839</f>
        <v>0.63346159999999996</v>
      </c>
      <c r="U11" s="34">
        <f>0.0484*1.024+0.6677</f>
        <v>0.71726159999999994</v>
      </c>
      <c r="V11" s="34">
        <f>0.0484*1.024+0.753</f>
        <v>0.80256159999999999</v>
      </c>
    </row>
    <row r="12" spans="1:22" ht="15" customHeight="1" x14ac:dyDescent="0.25">
      <c r="A12" s="30" t="s">
        <v>40</v>
      </c>
      <c r="B12" s="31">
        <v>0.93600000000000005</v>
      </c>
      <c r="C12" s="31">
        <v>1.371</v>
      </c>
      <c r="D12" s="31">
        <v>1.6739999999999999</v>
      </c>
      <c r="E12" s="31">
        <v>1.8140000000000001</v>
      </c>
      <c r="F12" s="31">
        <v>1.881</v>
      </c>
      <c r="G12" s="31">
        <v>1.7490000000000001</v>
      </c>
      <c r="H12" s="31">
        <v>1.385</v>
      </c>
      <c r="I12" s="31">
        <v>1.2370000000000001</v>
      </c>
      <c r="J12" s="31">
        <v>1.1140000000000001</v>
      </c>
      <c r="K12" s="32">
        <v>1.0029999999999999</v>
      </c>
      <c r="L12" s="33" t="s">
        <v>40</v>
      </c>
      <c r="M12" s="31">
        <f>0.0719*1.024+0.0022</f>
        <v>7.5825600000000007E-2</v>
      </c>
      <c r="N12" s="31">
        <f>0.0719*1.024+0</f>
        <v>7.3625600000000013E-2</v>
      </c>
      <c r="O12" s="31">
        <f>0.0719*1.024+0.0323</f>
        <v>0.10592560000000001</v>
      </c>
      <c r="P12" s="31">
        <f>0.0719*1.024+0.0706</f>
        <v>0.14422560000000001</v>
      </c>
      <c r="Q12" s="31">
        <f>0.0719*1.024+0.1492</f>
        <v>0.22282560000000001</v>
      </c>
      <c r="R12" s="31">
        <f>0.0719*1.024+0.2253</f>
        <v>0.29892560000000001</v>
      </c>
      <c r="S12" s="31">
        <f>0.0719*1.024+0.4973</f>
        <v>0.57092560000000003</v>
      </c>
      <c r="T12" s="31">
        <f>0.0719*1.024+0.5759</f>
        <v>0.64952560000000004</v>
      </c>
      <c r="U12" s="34">
        <f>0.0719*1.024+0.6587</f>
        <v>0.73232560000000002</v>
      </c>
      <c r="V12" s="34">
        <f>0.0719*1.024+0.7428</f>
        <v>0.81642560000000008</v>
      </c>
    </row>
    <row r="13" spans="1:22" ht="15" customHeight="1" x14ac:dyDescent="0.25">
      <c r="A13" s="30" t="s">
        <v>41</v>
      </c>
      <c r="B13" s="31">
        <v>1.032</v>
      </c>
      <c r="C13" s="31">
        <v>1.462</v>
      </c>
      <c r="D13" s="31">
        <v>1.748</v>
      </c>
      <c r="E13" s="31">
        <v>1.8540000000000001</v>
      </c>
      <c r="F13" s="31">
        <v>1.9039999999999999</v>
      </c>
      <c r="G13" s="31">
        <v>1.772</v>
      </c>
      <c r="H13" s="31">
        <v>1.3979999999999999</v>
      </c>
      <c r="I13" s="31">
        <v>1.2470000000000001</v>
      </c>
      <c r="J13" s="31">
        <v>1.1220000000000001</v>
      </c>
      <c r="K13" s="32">
        <v>1.01</v>
      </c>
      <c r="L13" s="33" t="s">
        <v>41</v>
      </c>
      <c r="M13" s="31">
        <f>0.0671*1.024+0.001</f>
        <v>6.9710400000000006E-2</v>
      </c>
      <c r="N13" s="31">
        <f>0.0671*1.024+0</f>
        <v>6.8710400000000005E-2</v>
      </c>
      <c r="O13" s="31">
        <f>0.0671*1.024+0.0297</f>
        <v>9.8410400000000009E-2</v>
      </c>
      <c r="P13" s="31">
        <f>0.0671*1.024+0.0677</f>
        <v>0.13641039999999999</v>
      </c>
      <c r="Q13" s="31">
        <f>0.0671*1.024+0.1448</f>
        <v>0.21351040000000002</v>
      </c>
      <c r="R13" s="31">
        <f>0.0671*1.024+0.2116</f>
        <v>0.28031040000000002</v>
      </c>
      <c r="S13" s="31">
        <f>0.0671*1.024+0.5182</f>
        <v>0.58691040000000005</v>
      </c>
      <c r="T13" s="31">
        <f>0.0671*1.024+0.596</f>
        <v>0.66471039999999992</v>
      </c>
      <c r="U13" s="34">
        <f>0.0671*1.024+0.6778</f>
        <v>0.74651040000000002</v>
      </c>
      <c r="V13" s="34">
        <f>0.0671*1.024+0.7608</f>
        <v>0.82951039999999998</v>
      </c>
    </row>
    <row r="14" spans="1:22" ht="15" customHeight="1" x14ac:dyDescent="0.25">
      <c r="A14" s="30" t="s">
        <v>42</v>
      </c>
      <c r="B14" s="31">
        <v>1.129</v>
      </c>
      <c r="C14" s="31">
        <v>1.554</v>
      </c>
      <c r="D14" s="31">
        <v>1.821</v>
      </c>
      <c r="E14" s="31">
        <v>1.8939999999999999</v>
      </c>
      <c r="F14" s="31">
        <v>1.927</v>
      </c>
      <c r="G14" s="31">
        <v>1.796</v>
      </c>
      <c r="H14" s="31">
        <v>1.4119999999999999</v>
      </c>
      <c r="I14" s="31">
        <v>1.2569999999999999</v>
      </c>
      <c r="J14" s="31">
        <v>1.1299999999999999</v>
      </c>
      <c r="K14" s="32">
        <v>1.016</v>
      </c>
      <c r="L14" s="33" t="s">
        <v>42</v>
      </c>
      <c r="M14" s="31">
        <f>0.0622*1.024+0</f>
        <v>6.3692799999999994E-2</v>
      </c>
      <c r="N14" s="31">
        <f>0.0622*1.024+0.0001</f>
        <v>6.3792799999999997E-2</v>
      </c>
      <c r="O14" s="31">
        <f>0.0622*1.024+0.0272</f>
        <v>9.0892799999999996E-2</v>
      </c>
      <c r="P14" s="31">
        <f>0.0622*1.024+0.0649</f>
        <v>0.12859280000000001</v>
      </c>
      <c r="Q14" s="31">
        <f>0.0622*1.024+0.1405</f>
        <v>0.20419280000000001</v>
      </c>
      <c r="R14" s="31">
        <f>0.0622*1.024+0.198</f>
        <v>0.2616928</v>
      </c>
      <c r="S14" s="31">
        <f>0.0622*1.024+0.5393</f>
        <v>0.6029928</v>
      </c>
      <c r="T14" s="31">
        <f>0.0622*1.024+0.6162</f>
        <v>0.67989279999999996</v>
      </c>
      <c r="U14" s="34">
        <f>0.0622*1.024+0.697</f>
        <v>0.76069279999999995</v>
      </c>
      <c r="V14" s="34">
        <f>0.0622*1.024+0.7789</f>
        <v>0.84259280000000003</v>
      </c>
    </row>
    <row r="15" spans="1:22" ht="15" customHeight="1" x14ac:dyDescent="0.25">
      <c r="A15" s="30" t="s">
        <v>43</v>
      </c>
      <c r="B15" s="31">
        <v>1.218</v>
      </c>
      <c r="C15" s="31">
        <v>1.631</v>
      </c>
      <c r="D15" s="31">
        <v>1.887</v>
      </c>
      <c r="E15" s="31">
        <v>1.946</v>
      </c>
      <c r="F15" s="31">
        <v>1.9490000000000001</v>
      </c>
      <c r="G15" s="31">
        <v>1.821</v>
      </c>
      <c r="H15" s="31">
        <v>1.4339999999999999</v>
      </c>
      <c r="I15" s="31">
        <v>1.274</v>
      </c>
      <c r="J15" s="31">
        <v>1.143</v>
      </c>
      <c r="K15" s="32">
        <v>1.026</v>
      </c>
      <c r="L15" s="33" t="s">
        <v>43</v>
      </c>
      <c r="M15" s="31">
        <f>0.0562*1.024+0</f>
        <v>5.7548800000000004E-2</v>
      </c>
      <c r="N15" s="31">
        <f>0.0562*1.024+0.0007</f>
        <v>5.8248800000000003E-2</v>
      </c>
      <c r="O15" s="31">
        <f>0.0562*1.024+0.026</f>
        <v>8.3548800000000006E-2</v>
      </c>
      <c r="P15" s="31">
        <f>0.0562*1.024+0.0667</f>
        <v>0.12424879999999999</v>
      </c>
      <c r="Q15" s="31">
        <f>0.0562*1.024+0.1401</f>
        <v>0.19764880000000001</v>
      </c>
      <c r="R15" s="31">
        <f>0.0562*1.024+0.3371</f>
        <v>0.39464880000000002</v>
      </c>
      <c r="S15" s="31">
        <f>0.0562*1.024+0.5292</f>
        <v>0.58674879999999996</v>
      </c>
      <c r="T15" s="31">
        <f>0.0562*1.024+0.6069</f>
        <v>0.66444879999999995</v>
      </c>
      <c r="U15" s="34">
        <f>0.0562*1.024+0.6887</f>
        <v>0.74624879999999993</v>
      </c>
      <c r="V15" s="34">
        <f>0.0562*1.024+0.7717</f>
        <v>0.82924880000000001</v>
      </c>
    </row>
    <row r="16" spans="1:22" ht="15" customHeight="1" x14ac:dyDescent="0.25">
      <c r="A16" s="30" t="s">
        <v>44</v>
      </c>
      <c r="B16" s="31">
        <v>1.3069999999999999</v>
      </c>
      <c r="C16" s="31">
        <v>1.7090000000000001</v>
      </c>
      <c r="D16" s="31">
        <v>1.954</v>
      </c>
      <c r="E16" s="31">
        <v>1.9970000000000001</v>
      </c>
      <c r="F16" s="31">
        <v>1.9710000000000001</v>
      </c>
      <c r="G16" s="31">
        <v>1.8460000000000001</v>
      </c>
      <c r="H16" s="31">
        <v>1.456</v>
      </c>
      <c r="I16" s="31">
        <v>1.292</v>
      </c>
      <c r="J16" s="31">
        <v>1.157</v>
      </c>
      <c r="K16" s="32">
        <v>1.036</v>
      </c>
      <c r="L16" s="33" t="s">
        <v>44</v>
      </c>
      <c r="M16" s="31">
        <f>0.0503*1.024+0</f>
        <v>5.1507199999999996E-2</v>
      </c>
      <c r="N16" s="31">
        <f>0.0503*1.024+0.0013</f>
        <v>5.2807199999999999E-2</v>
      </c>
      <c r="O16" s="31">
        <f>0.0503*1.024+0.0248</f>
        <v>7.6307199999999992E-2</v>
      </c>
      <c r="P16" s="31">
        <f>0.0503*1.024+0.0684</f>
        <v>0.11990719999999999</v>
      </c>
      <c r="Q16" s="31">
        <f>0.0503*1.024+0.1397</f>
        <v>0.19120719999999999</v>
      </c>
      <c r="R16" s="31">
        <f>0.0503*1.024+0.4763</f>
        <v>0.52780720000000003</v>
      </c>
      <c r="S16" s="31">
        <f>0.0503*1.024+0.5191</f>
        <v>0.57060719999999998</v>
      </c>
      <c r="T16" s="31">
        <f>0.0503*1.024+0.5977</f>
        <v>0.64920719999999998</v>
      </c>
      <c r="U16" s="34">
        <f>0.0503*1.024+0.6805</f>
        <v>0.73200719999999997</v>
      </c>
      <c r="V16" s="34">
        <f>0.0503*1.024+0.7646</f>
        <v>0.81610719999999992</v>
      </c>
    </row>
    <row r="17" spans="1:22" ht="15" customHeight="1" x14ac:dyDescent="0.25">
      <c r="A17" s="30" t="s">
        <v>45</v>
      </c>
      <c r="B17" s="31">
        <v>1.38</v>
      </c>
      <c r="C17" s="31">
        <v>1.776</v>
      </c>
      <c r="D17" s="31">
        <v>2.0099999999999998</v>
      </c>
      <c r="E17" s="31">
        <v>2.044</v>
      </c>
      <c r="F17" s="31">
        <v>1.9930000000000001</v>
      </c>
      <c r="G17" s="31">
        <v>1.8580000000000001</v>
      </c>
      <c r="H17" s="31">
        <v>1.464</v>
      </c>
      <c r="I17" s="31">
        <v>1.2989999999999999</v>
      </c>
      <c r="J17" s="31">
        <v>1.1619999999999999</v>
      </c>
      <c r="K17" s="32">
        <v>1.04</v>
      </c>
      <c r="L17" s="33" t="s">
        <v>45</v>
      </c>
      <c r="M17" s="31">
        <f>0.0443*1.024+0</f>
        <v>4.5363199999999999E-2</v>
      </c>
      <c r="N17" s="31">
        <f>0.0443*1.024+0.0024</f>
        <v>4.7763199999999999E-2</v>
      </c>
      <c r="O17" s="31">
        <f>0.0443*1.024+0.0244</f>
        <v>6.9763199999999997E-2</v>
      </c>
      <c r="P17" s="31">
        <f>0.0443*1.024+0.0721</f>
        <v>0.11746319999999999</v>
      </c>
      <c r="Q17" s="31">
        <f>0.0443*1.024+0.1428</f>
        <v>0.1881632</v>
      </c>
      <c r="R17" s="31">
        <f>0.0443*1.024+0.5</f>
        <v>0.54536320000000005</v>
      </c>
      <c r="S17" s="31">
        <f>0.0443*1.024+0.5437</f>
        <v>0.58906320000000001</v>
      </c>
      <c r="T17" s="31">
        <f>0.0443*1.024+0.6213</f>
        <v>0.66666320000000001</v>
      </c>
      <c r="U17" s="34">
        <f>0.0443*1.024+0.7029</f>
        <v>0.74826320000000002</v>
      </c>
      <c r="V17" s="34">
        <f>0.0443*1.024+0.7857</f>
        <v>0.8310632</v>
      </c>
    </row>
    <row r="18" spans="1:22" ht="15" customHeight="1" x14ac:dyDescent="0.25">
      <c r="A18" s="30" t="s">
        <v>46</v>
      </c>
      <c r="B18" s="31">
        <v>1.4530000000000001</v>
      </c>
      <c r="C18" s="31">
        <v>1.843</v>
      </c>
      <c r="D18" s="31">
        <v>2.0649999999999999</v>
      </c>
      <c r="E18" s="31">
        <v>2.09</v>
      </c>
      <c r="F18" s="31">
        <v>2.016</v>
      </c>
      <c r="G18" s="31">
        <v>1.869</v>
      </c>
      <c r="H18" s="31">
        <v>1.4730000000000001</v>
      </c>
      <c r="I18" s="31">
        <v>1.3049999999999999</v>
      </c>
      <c r="J18" s="31">
        <v>1.167</v>
      </c>
      <c r="K18" s="32">
        <v>1.044</v>
      </c>
      <c r="L18" s="33" t="s">
        <v>46</v>
      </c>
      <c r="M18" s="31">
        <f>0.0384*1.024+0</f>
        <v>3.9321599999999998E-2</v>
      </c>
      <c r="N18" s="31">
        <f>0.0384*1.024+0.0036</f>
        <v>4.2921599999999997E-2</v>
      </c>
      <c r="O18" s="31">
        <f>0.0384*1.024+0.0241</f>
        <v>6.3421599999999995E-2</v>
      </c>
      <c r="P18" s="31">
        <f>0.0384*1.024+0.0757</f>
        <v>0.1150216</v>
      </c>
      <c r="Q18" s="31">
        <f>0.0384*1.024+0.146</f>
        <v>0.18532159999999998</v>
      </c>
      <c r="R18" s="31">
        <f>0.0384*1.024+0.5238</f>
        <v>0.5631216</v>
      </c>
      <c r="S18" s="31">
        <f>0.0384*1.024+0.5682</f>
        <v>0.60752159999999999</v>
      </c>
      <c r="T18" s="31">
        <f>0.0384*1.024+0.6448</f>
        <v>0.6841216</v>
      </c>
      <c r="U18" s="34">
        <f>0.0384*1.024+0.7253</f>
        <v>0.7646215999999999</v>
      </c>
      <c r="V18" s="34">
        <f>0.0384*1.024+0.8069</f>
        <v>0.84622159999999991</v>
      </c>
    </row>
    <row r="19" spans="1:22" ht="15" customHeight="1" x14ac:dyDescent="0.25">
      <c r="A19" s="30" t="s">
        <v>47</v>
      </c>
      <c r="B19" s="31">
        <v>1.526</v>
      </c>
      <c r="C19" s="31">
        <v>1.91</v>
      </c>
      <c r="D19" s="31">
        <v>2.121</v>
      </c>
      <c r="E19" s="31">
        <v>2.137</v>
      </c>
      <c r="F19" s="31">
        <v>2.0379999999999998</v>
      </c>
      <c r="G19" s="31">
        <v>1.881</v>
      </c>
      <c r="H19" s="31">
        <v>1.4810000000000001</v>
      </c>
      <c r="I19" s="31">
        <v>1.3120000000000001</v>
      </c>
      <c r="J19" s="31">
        <v>1.1719999999999999</v>
      </c>
      <c r="K19" s="32">
        <v>1.048</v>
      </c>
      <c r="L19" s="33" t="s">
        <v>47</v>
      </c>
      <c r="M19" s="31">
        <f>0.0324*1.024+0</f>
        <v>3.3177600000000002E-2</v>
      </c>
      <c r="N19" s="31">
        <f>0.0324*1.024+0.0047</f>
        <v>3.7877600000000004E-2</v>
      </c>
      <c r="O19" s="31">
        <f>0.0324*1.024+0.0237</f>
        <v>5.68776E-2</v>
      </c>
      <c r="P19" s="31">
        <f>0.0324*1.024+0.0794</f>
        <v>0.1125776</v>
      </c>
      <c r="Q19" s="31">
        <f>0.0324*1.024+0.1491</f>
        <v>0.18227760000000001</v>
      </c>
      <c r="R19" s="31">
        <f>0.0324*1.024+0.5475</f>
        <v>0.58067760000000002</v>
      </c>
      <c r="S19" s="31">
        <f>0.0324*1.024+0.5928</f>
        <v>0.62597760000000002</v>
      </c>
      <c r="T19" s="31">
        <f>0.0324*1.024+0.6684</f>
        <v>0.70157760000000002</v>
      </c>
      <c r="U19" s="34">
        <f>0.0324*1.024+0.7477</f>
        <v>0.78087760000000006</v>
      </c>
      <c r="V19" s="34">
        <f>0.0324*1.024+0.828</f>
        <v>0.86117759999999999</v>
      </c>
    </row>
    <row r="22" spans="1:22" ht="15" customHeight="1" x14ac:dyDescent="0.25">
      <c r="A22" s="35"/>
    </row>
    <row r="23" spans="1:22" ht="15" customHeight="1" x14ac:dyDescent="0.25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</row>
    <row r="24" spans="1:22" ht="15" customHeight="1" x14ac:dyDescent="0.25">
      <c r="A24" s="37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</row>
    <row r="25" spans="1:22" ht="15" customHeight="1" x14ac:dyDescent="0.25">
      <c r="A25" s="37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</row>
    <row r="26" spans="1:22" ht="15" customHeight="1" x14ac:dyDescent="0.25">
      <c r="A26" s="37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</row>
    <row r="27" spans="1:22" ht="15" customHeight="1" x14ac:dyDescent="0.25">
      <c r="A27" s="37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</row>
    <row r="28" spans="1:22" ht="15" customHeight="1" x14ac:dyDescent="0.25">
      <c r="A28" s="37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</row>
    <row r="29" spans="1:22" ht="15" customHeight="1" x14ac:dyDescent="0.25">
      <c r="A29" s="37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</row>
    <row r="30" spans="1:22" ht="15" customHeight="1" x14ac:dyDescent="0.25">
      <c r="A30" s="37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</row>
    <row r="31" spans="1:22" ht="15" customHeight="1" x14ac:dyDescent="0.25">
      <c r="A31" s="37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</row>
    <row r="32" spans="1:22" ht="15" customHeight="1" x14ac:dyDescent="0.25">
      <c r="A32" s="37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</row>
    <row r="33" spans="1:16" ht="15" customHeight="1" x14ac:dyDescent="0.25">
      <c r="A33" s="37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</row>
    <row r="34" spans="1:16" ht="15" customHeight="1" x14ac:dyDescent="0.25">
      <c r="A34" s="37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</row>
    <row r="35" spans="1:16" ht="15" customHeight="1" x14ac:dyDescent="0.25">
      <c r="A35" s="37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</row>
    <row r="36" spans="1:16" ht="15" customHeight="1" x14ac:dyDescent="0.25">
      <c r="A36" s="37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</row>
    <row r="37" spans="1:16" ht="15" customHeight="1" x14ac:dyDescent="0.25">
      <c r="A37" s="37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</row>
    <row r="38" spans="1:16" ht="15" customHeight="1" x14ac:dyDescent="0.25">
      <c r="A38" s="37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</row>
    <row r="39" spans="1:16" ht="15" customHeight="1" x14ac:dyDescent="0.25">
      <c r="A39" s="37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</row>
    <row r="40" spans="1:16" ht="15" customHeight="1" x14ac:dyDescent="0.25">
      <c r="A40" s="37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</row>
    <row r="41" spans="1:16" ht="15" customHeight="1" x14ac:dyDescent="0.25">
      <c r="A41" s="37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</row>
    <row r="42" spans="1:16" ht="15" customHeight="1" x14ac:dyDescent="0.25">
      <c r="A42" s="37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</row>
    <row r="43" spans="1:16" ht="15" customHeight="1" x14ac:dyDescent="0.25">
      <c r="A43" s="37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</row>
    <row r="44" spans="1:16" ht="15" customHeight="1" x14ac:dyDescent="0.25">
      <c r="A44" s="37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</row>
    <row r="45" spans="1:16" ht="15" customHeight="1" x14ac:dyDescent="0.25">
      <c r="A45" s="37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</row>
    <row r="46" spans="1:16" ht="15" customHeight="1" x14ac:dyDescent="0.25">
      <c r="A46" s="37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</row>
    <row r="47" spans="1:16" ht="15" customHeight="1" x14ac:dyDescent="0.25">
      <c r="A47" s="37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</row>
    <row r="48" spans="1:16" ht="15" customHeight="1" x14ac:dyDescent="0.25">
      <c r="A48" s="37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</row>
    <row r="49" spans="1:16" ht="15" customHeight="1" x14ac:dyDescent="0.25">
      <c r="A49" s="37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</row>
    <row r="50" spans="1:16" ht="15" customHeight="1" x14ac:dyDescent="0.25">
      <c r="A50" s="37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</row>
    <row r="51" spans="1:16" ht="15" customHeight="1" x14ac:dyDescent="0.25">
      <c r="A51" s="37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</row>
    <row r="52" spans="1:16" ht="15" customHeight="1" x14ac:dyDescent="0.25">
      <c r="A52" s="37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</row>
    <row r="53" spans="1:16" ht="15" customHeight="1" x14ac:dyDescent="0.25">
      <c r="A53" s="37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</row>
    <row r="54" spans="1:16" ht="15" customHeight="1" x14ac:dyDescent="0.25">
      <c r="A54" s="37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</row>
    <row r="55" spans="1:16" ht="15" customHeight="1" x14ac:dyDescent="0.25">
      <c r="A55" s="37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</row>
    <row r="56" spans="1:16" ht="15" customHeight="1" x14ac:dyDescent="0.25">
      <c r="A56" s="37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</row>
    <row r="57" spans="1:16" ht="15" customHeight="1" x14ac:dyDescent="0.25">
      <c r="A57" s="37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</row>
    <row r="58" spans="1:16" ht="15" customHeight="1" x14ac:dyDescent="0.25">
      <c r="A58" s="37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</row>
    <row r="59" spans="1:16" ht="15" customHeight="1" x14ac:dyDescent="0.25">
      <c r="A59" s="37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</row>
    <row r="60" spans="1:16" ht="15" customHeight="1" x14ac:dyDescent="0.25">
      <c r="A60" s="37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</row>
    <row r="61" spans="1:16" ht="15" customHeight="1" x14ac:dyDescent="0.25">
      <c r="A61" s="37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</row>
    <row r="62" spans="1:16" ht="15" customHeight="1" x14ac:dyDescent="0.25">
      <c r="A62" s="37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</row>
    <row r="63" spans="1:16" ht="15" customHeight="1" x14ac:dyDescent="0.25">
      <c r="A63" s="37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</row>
    <row r="64" spans="1:16" ht="15" customHeight="1" x14ac:dyDescent="0.25">
      <c r="A64" s="37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</row>
    <row r="65" spans="1:16" ht="15" customHeight="1" x14ac:dyDescent="0.25">
      <c r="A65" s="37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</row>
    <row r="66" spans="1:16" ht="15" customHeight="1" x14ac:dyDescent="0.25">
      <c r="A66" s="37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</row>
    <row r="67" spans="1:16" ht="15" customHeight="1" x14ac:dyDescent="0.25">
      <c r="A67" s="37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</row>
    <row r="68" spans="1:16" ht="15" customHeight="1" x14ac:dyDescent="0.25">
      <c r="A68" s="37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</row>
    <row r="69" spans="1:16" ht="15" customHeight="1" x14ac:dyDescent="0.25">
      <c r="A69" s="37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</row>
  </sheetData>
  <conditionalFormatting sqref="B4:K19">
    <cfRule type="colorScale" priority="2">
      <colorScale>
        <cfvo type="min"/>
        <cfvo type="percentile" val="50"/>
        <cfvo type="max"/>
        <color rgb="FFEBF5FB"/>
        <color rgb="FF2980B9"/>
        <color rgb="FF1A5276"/>
      </colorScale>
    </cfRule>
  </conditionalFormatting>
  <conditionalFormatting sqref="M4:V19">
    <cfRule type="colorScale" priority="3">
      <colorScale>
        <cfvo type="min"/>
        <cfvo type="percentile" val="50"/>
        <cfvo type="max"/>
        <color rgb="FFE9F7EF"/>
        <color rgb="FFF39C12"/>
        <color rgb="FF922B21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69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7109375" defaultRowHeight="15" x14ac:dyDescent="0.25"/>
  <cols>
    <col min="1" max="1" width="8" style="1" customWidth="1"/>
    <col min="2" max="17" width="7" style="1" customWidth="1"/>
    <col min="18" max="22" width="8" style="1" customWidth="1"/>
  </cols>
  <sheetData>
    <row r="1" spans="1:22" ht="19.5" customHeight="1" x14ac:dyDescent="0.25">
      <c r="A1" s="25" t="s">
        <v>55</v>
      </c>
    </row>
    <row r="2" spans="1:22" ht="15" customHeight="1" x14ac:dyDescent="0.25">
      <c r="B2" s="26" t="s">
        <v>19</v>
      </c>
      <c r="L2" s="27"/>
      <c r="M2" s="11" t="s">
        <v>20</v>
      </c>
    </row>
    <row r="3" spans="1:22" ht="15" customHeight="1" x14ac:dyDescent="0.25">
      <c r="A3" s="28" t="s">
        <v>21</v>
      </c>
      <c r="B3" s="28" t="s">
        <v>22</v>
      </c>
      <c r="C3" s="28" t="s">
        <v>23</v>
      </c>
      <c r="D3" s="28" t="s">
        <v>24</v>
      </c>
      <c r="E3" s="28" t="s">
        <v>25</v>
      </c>
      <c r="F3" s="28" t="s">
        <v>26</v>
      </c>
      <c r="G3" s="28" t="s">
        <v>27</v>
      </c>
      <c r="H3" s="28" t="s">
        <v>28</v>
      </c>
      <c r="I3" s="28" t="s">
        <v>29</v>
      </c>
      <c r="J3" s="28" t="s">
        <v>30</v>
      </c>
      <c r="K3" s="29" t="s">
        <v>31</v>
      </c>
      <c r="L3" s="28" t="s">
        <v>21</v>
      </c>
      <c r="M3" s="28" t="s">
        <v>22</v>
      </c>
      <c r="N3" s="28" t="s">
        <v>23</v>
      </c>
      <c r="O3" s="28" t="s">
        <v>24</v>
      </c>
      <c r="P3" s="28" t="s">
        <v>25</v>
      </c>
      <c r="Q3" s="28" t="s">
        <v>26</v>
      </c>
      <c r="R3" s="28" t="s">
        <v>27</v>
      </c>
      <c r="S3" s="28" t="s">
        <v>28</v>
      </c>
      <c r="T3" s="28" t="s">
        <v>29</v>
      </c>
      <c r="U3" s="29" t="s">
        <v>30</v>
      </c>
      <c r="V3" s="29" t="s">
        <v>31</v>
      </c>
    </row>
    <row r="4" spans="1:22" ht="15" customHeight="1" x14ac:dyDescent="0.25">
      <c r="A4" s="30" t="s">
        <v>32</v>
      </c>
      <c r="B4" s="31">
        <v>0</v>
      </c>
      <c r="C4" s="31">
        <v>0.52700000000000002</v>
      </c>
      <c r="D4" s="31">
        <v>1.022</v>
      </c>
      <c r="E4" s="31">
        <v>1.407</v>
      </c>
      <c r="F4" s="31">
        <v>1.6180000000000001</v>
      </c>
      <c r="G4" s="31">
        <v>1.4370000000000001</v>
      </c>
      <c r="H4" s="31">
        <v>1.2310000000000001</v>
      </c>
      <c r="I4" s="31">
        <v>1.117</v>
      </c>
      <c r="J4" s="31">
        <v>1.02</v>
      </c>
      <c r="K4" s="32">
        <v>0.93100000000000005</v>
      </c>
      <c r="L4" s="33" t="s">
        <v>32</v>
      </c>
      <c r="M4" s="31">
        <f>0.01*1+0</f>
        <v>0.01</v>
      </c>
      <c r="N4" s="31">
        <f>0.01*1+0.0257</f>
        <v>3.5700000000000003E-2</v>
      </c>
      <c r="O4" s="31">
        <f>0.01*1+0.0966</f>
        <v>0.1066</v>
      </c>
      <c r="P4" s="31">
        <f>0.01*1+0.183</f>
        <v>0.193</v>
      </c>
      <c r="Q4" s="31">
        <f>0.01*1+0.2421</f>
        <v>0.25209999999999999</v>
      </c>
      <c r="R4" s="31">
        <f>0.01*1+0.1909</f>
        <v>0.2009</v>
      </c>
      <c r="S4" s="31">
        <f>0.01*1+0.418</f>
        <v>0.42799999999999999</v>
      </c>
      <c r="T4" s="31">
        <f>0.01*1+0.5043</f>
        <v>0.51429999999999998</v>
      </c>
      <c r="U4" s="34">
        <f>0.01*1+0.5957</f>
        <v>0.60570000000000002</v>
      </c>
      <c r="V4" s="34">
        <f>0.01*1+0.6894</f>
        <v>0.69940000000000002</v>
      </c>
    </row>
    <row r="5" spans="1:22" ht="15" customHeight="1" x14ac:dyDescent="0.25">
      <c r="A5" s="30" t="s">
        <v>33</v>
      </c>
      <c r="B5" s="31">
        <v>0.126</v>
      </c>
      <c r="C5" s="31">
        <v>0.64700000000000002</v>
      </c>
      <c r="D5" s="31">
        <v>1.109</v>
      </c>
      <c r="E5" s="31">
        <v>1.47</v>
      </c>
      <c r="F5" s="31">
        <v>1.661</v>
      </c>
      <c r="G5" s="31">
        <v>1.49</v>
      </c>
      <c r="H5" s="31">
        <v>1.256</v>
      </c>
      <c r="I5" s="31">
        <v>1.1359999999999999</v>
      </c>
      <c r="J5" s="31">
        <v>1.0349999999999999</v>
      </c>
      <c r="K5" s="32">
        <v>0.94299999999999995</v>
      </c>
      <c r="L5" s="33" t="s">
        <v>33</v>
      </c>
      <c r="M5" s="31">
        <f>0.0121*1+0</f>
        <v>1.21E-2</v>
      </c>
      <c r="N5" s="31">
        <f>0.0121*1+0.0242</f>
        <v>3.6299999999999999E-2</v>
      </c>
      <c r="O5" s="31">
        <f>0.0121*1+0.0892</f>
        <v>0.1013</v>
      </c>
      <c r="P5" s="31">
        <f>0.0121*1+0.1688</f>
        <v>0.18090000000000001</v>
      </c>
      <c r="Q5" s="31">
        <f>0.0121*1+0.2238</f>
        <v>0.2359</v>
      </c>
      <c r="R5" s="31">
        <f>0.0121*1+0.1865</f>
        <v>0.1986</v>
      </c>
      <c r="S5" s="31">
        <f>0.0121*1+0.4328</f>
        <v>0.44490000000000002</v>
      </c>
      <c r="T5" s="31">
        <f>0.0121*1+0.5182</f>
        <v>0.53029999999999999</v>
      </c>
      <c r="U5" s="34">
        <f>0.0121*1+0.6086</f>
        <v>0.62070000000000003</v>
      </c>
      <c r="V5" s="34">
        <f>0.0121*1+0.7011</f>
        <v>0.71319999999999995</v>
      </c>
    </row>
    <row r="6" spans="1:22" ht="15" customHeight="1" x14ac:dyDescent="0.25">
      <c r="A6" s="30" t="s">
        <v>34</v>
      </c>
      <c r="B6" s="31">
        <v>0.252</v>
      </c>
      <c r="C6" s="31">
        <v>0.76600000000000001</v>
      </c>
      <c r="D6" s="31">
        <v>1.196</v>
      </c>
      <c r="E6" s="31">
        <v>1.534</v>
      </c>
      <c r="F6" s="31">
        <v>1.704</v>
      </c>
      <c r="G6" s="31">
        <v>1.5429999999999999</v>
      </c>
      <c r="H6" s="31">
        <v>1.2809999999999999</v>
      </c>
      <c r="I6" s="31">
        <v>1.155</v>
      </c>
      <c r="J6" s="31">
        <v>1.05</v>
      </c>
      <c r="K6" s="32">
        <v>0.95399999999999996</v>
      </c>
      <c r="L6" s="33" t="s">
        <v>34</v>
      </c>
      <c r="M6" s="31">
        <f>0.0142*1+0</f>
        <v>1.4200000000000001E-2</v>
      </c>
      <c r="N6" s="31">
        <f>0.0142*1+0.0226</f>
        <v>3.6799999999999999E-2</v>
      </c>
      <c r="O6" s="31">
        <f>0.0142*1+0.0818</f>
        <v>9.6000000000000002E-2</v>
      </c>
      <c r="P6" s="31">
        <f>0.0142*1+0.1545</f>
        <v>0.16869999999999999</v>
      </c>
      <c r="Q6" s="31">
        <f>0.0142*1+0.2054</f>
        <v>0.21959999999999999</v>
      </c>
      <c r="R6" s="31">
        <f>0.0142*1+0.1821</f>
        <v>0.1963</v>
      </c>
      <c r="S6" s="31">
        <f>0.0142*1+0.4477</f>
        <v>0.46189999999999998</v>
      </c>
      <c r="T6" s="31">
        <f>0.0142*1+0.5321</f>
        <v>0.54630000000000001</v>
      </c>
      <c r="U6" s="34">
        <f>0.0142*1+0.6215</f>
        <v>0.63570000000000004</v>
      </c>
      <c r="V6" s="34">
        <f>0.0142*1+0.7129</f>
        <v>0.72709999999999997</v>
      </c>
    </row>
    <row r="7" spans="1:22" ht="15" customHeight="1" x14ac:dyDescent="0.25">
      <c r="A7" s="30" t="s">
        <v>35</v>
      </c>
      <c r="B7" s="31">
        <v>0.376</v>
      </c>
      <c r="C7" s="31">
        <v>0.873</v>
      </c>
      <c r="D7" s="31">
        <v>1.278</v>
      </c>
      <c r="E7" s="31">
        <v>1.591</v>
      </c>
      <c r="F7" s="31">
        <v>1.738</v>
      </c>
      <c r="G7" s="31">
        <v>1.585</v>
      </c>
      <c r="H7" s="31">
        <v>1.3009999999999999</v>
      </c>
      <c r="I7" s="31">
        <v>1.171</v>
      </c>
      <c r="J7" s="31">
        <v>1.0620000000000001</v>
      </c>
      <c r="K7" s="32">
        <v>0.96399999999999997</v>
      </c>
      <c r="L7" s="33" t="s">
        <v>35</v>
      </c>
      <c r="M7" s="31">
        <f>0.0163*1+0</f>
        <v>1.6299999999999999E-2</v>
      </c>
      <c r="N7" s="31">
        <f>0.0163*1+0.0201</f>
        <v>3.6400000000000002E-2</v>
      </c>
      <c r="O7" s="31">
        <f>0.0163*1+0.0745</f>
        <v>9.0799999999999992E-2</v>
      </c>
      <c r="P7" s="31">
        <f>0.0163*1+0.1407</f>
        <v>0.157</v>
      </c>
      <c r="Q7" s="31">
        <f>0.0163*1+0.1882</f>
        <v>0.20450000000000002</v>
      </c>
      <c r="R7" s="31">
        <f>0.0163*1+0.1778</f>
        <v>0.19410000000000002</v>
      </c>
      <c r="S7" s="31">
        <f>0.0163*1+0.4618</f>
        <v>0.47809999999999997</v>
      </c>
      <c r="T7" s="31">
        <f>0.0163*1+0.5453</f>
        <v>0.56159999999999999</v>
      </c>
      <c r="U7" s="34">
        <f>0.0163*1+0.6338</f>
        <v>0.65010000000000001</v>
      </c>
      <c r="V7" s="34">
        <f>0.0163*1+0.724</f>
        <v>0.74029999999999996</v>
      </c>
    </row>
    <row r="8" spans="1:22" ht="15" customHeight="1" x14ac:dyDescent="0.25">
      <c r="A8" s="30" t="s">
        <v>36</v>
      </c>
      <c r="B8" s="31">
        <v>0.499</v>
      </c>
      <c r="C8" s="31">
        <v>0.97899999999999998</v>
      </c>
      <c r="D8" s="31">
        <v>1.36</v>
      </c>
      <c r="E8" s="31">
        <v>1.647</v>
      </c>
      <c r="F8" s="31">
        <v>1.7729999999999999</v>
      </c>
      <c r="G8" s="31">
        <v>1.627</v>
      </c>
      <c r="H8" s="31">
        <v>1.321</v>
      </c>
      <c r="I8" s="31">
        <v>1.1870000000000001</v>
      </c>
      <c r="J8" s="31">
        <v>1.075</v>
      </c>
      <c r="K8" s="32">
        <v>0.97299999999999998</v>
      </c>
      <c r="L8" s="33" t="s">
        <v>36</v>
      </c>
      <c r="M8" s="31">
        <f>0.0185*1+0</f>
        <v>1.8499999999999999E-2</v>
      </c>
      <c r="N8" s="31">
        <f>0.0185*1+0.0175</f>
        <v>3.6000000000000004E-2</v>
      </c>
      <c r="O8" s="31">
        <f>0.0185*1+0.0672</f>
        <v>8.5699999999999998E-2</v>
      </c>
      <c r="P8" s="31">
        <f>0.0185*1+0.1269</f>
        <v>0.1454</v>
      </c>
      <c r="Q8" s="31">
        <f>0.0185*1+0.171</f>
        <v>0.1895</v>
      </c>
      <c r="R8" s="31">
        <f>0.0185*1+0.1735</f>
        <v>0.19199999999999998</v>
      </c>
      <c r="S8" s="31">
        <f>0.0185*1+0.4759</f>
        <v>0.49440000000000001</v>
      </c>
      <c r="T8" s="31">
        <f>0.0185*1+0.5585</f>
        <v>0.57699999999999996</v>
      </c>
      <c r="U8" s="34">
        <f>0.0185*1+0.646</f>
        <v>0.66449999999999998</v>
      </c>
      <c r="V8" s="34">
        <f>0.0185*1+0.7351</f>
        <v>0.75359999999999994</v>
      </c>
    </row>
    <row r="9" spans="1:22" ht="15" customHeight="1" x14ac:dyDescent="0.25">
      <c r="A9" s="30" t="s">
        <v>37</v>
      </c>
      <c r="B9" s="31">
        <v>0.61399999999999999</v>
      </c>
      <c r="C9" s="31">
        <v>1.077</v>
      </c>
      <c r="D9" s="31">
        <v>1.44</v>
      </c>
      <c r="E9" s="31">
        <v>1.6919999999999999</v>
      </c>
      <c r="F9" s="31">
        <v>1.8009999999999999</v>
      </c>
      <c r="G9" s="31">
        <v>1.66</v>
      </c>
      <c r="H9" s="31">
        <v>1.3380000000000001</v>
      </c>
      <c r="I9" s="31">
        <v>1.2</v>
      </c>
      <c r="J9" s="31">
        <v>1.0860000000000001</v>
      </c>
      <c r="K9" s="32">
        <v>0.98099999999999998</v>
      </c>
      <c r="L9" s="33" t="s">
        <v>37</v>
      </c>
      <c r="M9" s="31">
        <f>0.0206*1+0</f>
        <v>2.06E-2</v>
      </c>
      <c r="N9" s="31">
        <f>0.0206*1+0.0151</f>
        <v>3.5700000000000003E-2</v>
      </c>
      <c r="O9" s="31">
        <f>0.0206*1+0.0614</f>
        <v>8.2000000000000003E-2</v>
      </c>
      <c r="P9" s="31">
        <f>0.0206*1+0.1143</f>
        <v>0.13489999999999999</v>
      </c>
      <c r="Q9" s="31">
        <f>0.0206*1+0.1573</f>
        <v>0.1779</v>
      </c>
      <c r="R9" s="31">
        <f>0.0206*1+0.1717</f>
        <v>0.1923</v>
      </c>
      <c r="S9" s="31">
        <f>0.0206*1+0.4948</f>
        <v>0.51539999999999997</v>
      </c>
      <c r="T9" s="31">
        <f>0.0206*1+0.5763</f>
        <v>0.59689999999999999</v>
      </c>
      <c r="U9" s="34">
        <f>0.0206*1+0.6624</f>
        <v>0.68299999999999994</v>
      </c>
      <c r="V9" s="34">
        <f>0.0206*1+0.7502</f>
        <v>0.77079999999999993</v>
      </c>
    </row>
    <row r="10" spans="1:22" ht="15" customHeight="1" x14ac:dyDescent="0.25">
      <c r="A10" s="30" t="s">
        <v>38</v>
      </c>
      <c r="B10" s="31">
        <v>0.72899999999999998</v>
      </c>
      <c r="C10" s="31">
        <v>1.175</v>
      </c>
      <c r="D10" s="31">
        <v>1.5189999999999999</v>
      </c>
      <c r="E10" s="31">
        <v>1.738</v>
      </c>
      <c r="F10" s="31">
        <v>1.83</v>
      </c>
      <c r="G10" s="31">
        <v>1.694</v>
      </c>
      <c r="H10" s="31">
        <v>1.355</v>
      </c>
      <c r="I10" s="31">
        <v>1.2130000000000001</v>
      </c>
      <c r="J10" s="31">
        <v>1.0960000000000001</v>
      </c>
      <c r="K10" s="32">
        <v>0.98899999999999999</v>
      </c>
      <c r="L10" s="33" t="s">
        <v>38</v>
      </c>
      <c r="M10" s="31">
        <f>0.0227*1+0</f>
        <v>2.2700000000000001E-2</v>
      </c>
      <c r="N10" s="31">
        <f>0.0227*1+0.0127</f>
        <v>3.5400000000000001E-2</v>
      </c>
      <c r="O10" s="31">
        <f>0.0227*1+0.0557</f>
        <v>7.8399999999999997E-2</v>
      </c>
      <c r="P10" s="31">
        <f>0.0227*1+0.1017</f>
        <v>0.1244</v>
      </c>
      <c r="Q10" s="31">
        <f>0.0227*1+0.1435</f>
        <v>0.16619999999999999</v>
      </c>
      <c r="R10" s="31">
        <f>0.0227*1+0.1699</f>
        <v>0.19259999999999999</v>
      </c>
      <c r="S10" s="31">
        <f>0.0227*1+0.5137</f>
        <v>0.5364000000000001</v>
      </c>
      <c r="T10" s="31">
        <f>0.0227*1+0.5941</f>
        <v>0.61680000000000001</v>
      </c>
      <c r="U10" s="34">
        <f>0.0227*1+0.6789</f>
        <v>0.7016</v>
      </c>
      <c r="V10" s="34">
        <f>0.0227*1+0.7653</f>
        <v>0.78800000000000003</v>
      </c>
    </row>
    <row r="11" spans="1:22" ht="15" customHeight="1" x14ac:dyDescent="0.25">
      <c r="A11" s="30" t="s">
        <v>39</v>
      </c>
      <c r="B11" s="31">
        <v>0.83299999999999996</v>
      </c>
      <c r="C11" s="31">
        <v>1.2729999999999999</v>
      </c>
      <c r="D11" s="31">
        <v>1.5960000000000001</v>
      </c>
      <c r="E11" s="31">
        <v>1.776</v>
      </c>
      <c r="F11" s="31">
        <v>1.8560000000000001</v>
      </c>
      <c r="G11" s="31">
        <v>1.722</v>
      </c>
      <c r="H11" s="31">
        <v>1.37</v>
      </c>
      <c r="I11" s="31">
        <v>1.2250000000000001</v>
      </c>
      <c r="J11" s="31">
        <v>1.105</v>
      </c>
      <c r="K11" s="32">
        <v>0.996</v>
      </c>
      <c r="L11" s="33" t="s">
        <v>39</v>
      </c>
      <c r="M11" s="31">
        <f>0.0484*1+0</f>
        <v>4.8399999999999999E-2</v>
      </c>
      <c r="N11" s="31">
        <f>0.0484*1+0.0053</f>
        <v>5.3699999999999998E-2</v>
      </c>
      <c r="O11" s="31">
        <f>0.0484*1+0.0429</f>
        <v>9.1299999999999992E-2</v>
      </c>
      <c r="P11" s="31">
        <f>0.0484*1+0.085</f>
        <v>0.13340000000000002</v>
      </c>
      <c r="Q11" s="31">
        <f>0.0484*1+0.1452</f>
        <v>0.19359999999999999</v>
      </c>
      <c r="R11" s="31">
        <f>0.0484*1+0.1965</f>
        <v>0.24490000000000001</v>
      </c>
      <c r="S11" s="31">
        <f>0.0484*1+0.5044</f>
        <v>0.55279999999999996</v>
      </c>
      <c r="T11" s="31">
        <f>0.0484*1+0.5839</f>
        <v>0.63229999999999997</v>
      </c>
      <c r="U11" s="34">
        <f>0.0484*1+0.6677</f>
        <v>0.71609999999999996</v>
      </c>
      <c r="V11" s="34">
        <f>0.0484*1+0.753</f>
        <v>0.8014</v>
      </c>
    </row>
    <row r="12" spans="1:22" ht="15" customHeight="1" x14ac:dyDescent="0.25">
      <c r="A12" s="30" t="s">
        <v>40</v>
      </c>
      <c r="B12" s="31">
        <v>0.93600000000000005</v>
      </c>
      <c r="C12" s="31">
        <v>1.371</v>
      </c>
      <c r="D12" s="31">
        <v>1.6739999999999999</v>
      </c>
      <c r="E12" s="31">
        <v>1.8140000000000001</v>
      </c>
      <c r="F12" s="31">
        <v>1.881</v>
      </c>
      <c r="G12" s="31">
        <v>1.7490000000000001</v>
      </c>
      <c r="H12" s="31">
        <v>1.385</v>
      </c>
      <c r="I12" s="31">
        <v>1.2370000000000001</v>
      </c>
      <c r="J12" s="31">
        <v>1.1140000000000001</v>
      </c>
      <c r="K12" s="32">
        <v>1.0029999999999999</v>
      </c>
      <c r="L12" s="33" t="s">
        <v>40</v>
      </c>
      <c r="M12" s="31">
        <f>0.0719*1+0.0022</f>
        <v>7.4099999999999999E-2</v>
      </c>
      <c r="N12" s="31">
        <f>0.0719*1+0</f>
        <v>7.1900000000000006E-2</v>
      </c>
      <c r="O12" s="31">
        <f>0.0719*1+0.0323</f>
        <v>0.10420000000000001</v>
      </c>
      <c r="P12" s="31">
        <f>0.0719*1+0.0706</f>
        <v>0.14250000000000002</v>
      </c>
      <c r="Q12" s="31">
        <f>0.0719*1+0.1492</f>
        <v>0.22110000000000002</v>
      </c>
      <c r="R12" s="31">
        <f>0.0719*1+0.2253</f>
        <v>0.29720000000000002</v>
      </c>
      <c r="S12" s="31">
        <f>0.0719*1+0.4973</f>
        <v>0.56920000000000004</v>
      </c>
      <c r="T12" s="31">
        <f>0.0719*1+0.5759</f>
        <v>0.64779999999999993</v>
      </c>
      <c r="U12" s="34">
        <f>0.0719*1+0.6587</f>
        <v>0.73059999999999992</v>
      </c>
      <c r="V12" s="34">
        <f>0.0719*1+0.7428</f>
        <v>0.81469999999999998</v>
      </c>
    </row>
    <row r="13" spans="1:22" ht="15" customHeight="1" x14ac:dyDescent="0.25">
      <c r="A13" s="30" t="s">
        <v>41</v>
      </c>
      <c r="B13" s="31">
        <v>1.032</v>
      </c>
      <c r="C13" s="31">
        <v>1.462</v>
      </c>
      <c r="D13" s="31">
        <v>1.748</v>
      </c>
      <c r="E13" s="31">
        <v>1.8540000000000001</v>
      </c>
      <c r="F13" s="31">
        <v>1.9039999999999999</v>
      </c>
      <c r="G13" s="31">
        <v>1.772</v>
      </c>
      <c r="H13" s="31">
        <v>1.3979999999999999</v>
      </c>
      <c r="I13" s="31">
        <v>1.2470000000000001</v>
      </c>
      <c r="J13" s="31">
        <v>1.1220000000000001</v>
      </c>
      <c r="K13" s="32">
        <v>1.01</v>
      </c>
      <c r="L13" s="33" t="s">
        <v>41</v>
      </c>
      <c r="M13" s="31">
        <f>0.0671*1+0.001</f>
        <v>6.8100000000000008E-2</v>
      </c>
      <c r="N13" s="31">
        <f>0.0671*1+0</f>
        <v>6.7100000000000007E-2</v>
      </c>
      <c r="O13" s="31">
        <f>0.0671*1+0.0297</f>
        <v>9.6800000000000011E-2</v>
      </c>
      <c r="P13" s="31">
        <f>0.0671*1+0.0677</f>
        <v>0.1348</v>
      </c>
      <c r="Q13" s="31">
        <f>0.0671*1+0.1448</f>
        <v>0.21190000000000003</v>
      </c>
      <c r="R13" s="31">
        <f>0.0671*1+0.2116</f>
        <v>0.2787</v>
      </c>
      <c r="S13" s="31">
        <f>0.0671*1+0.5182</f>
        <v>0.58530000000000004</v>
      </c>
      <c r="T13" s="31">
        <f>0.0671*1+0.596</f>
        <v>0.66310000000000002</v>
      </c>
      <c r="U13" s="34">
        <f>0.0671*1+0.6778</f>
        <v>0.74490000000000001</v>
      </c>
      <c r="V13" s="34">
        <f>0.0671*1+0.7608</f>
        <v>0.82790000000000008</v>
      </c>
    </row>
    <row r="14" spans="1:22" ht="15" customHeight="1" x14ac:dyDescent="0.25">
      <c r="A14" s="30" t="s">
        <v>42</v>
      </c>
      <c r="B14" s="31">
        <v>1.129</v>
      </c>
      <c r="C14" s="31">
        <v>1.554</v>
      </c>
      <c r="D14" s="31">
        <v>1.821</v>
      </c>
      <c r="E14" s="31">
        <v>1.8939999999999999</v>
      </c>
      <c r="F14" s="31">
        <v>1.927</v>
      </c>
      <c r="G14" s="31">
        <v>1.796</v>
      </c>
      <c r="H14" s="31">
        <v>1.4119999999999999</v>
      </c>
      <c r="I14" s="31">
        <v>1.2569999999999999</v>
      </c>
      <c r="J14" s="31">
        <v>1.1299999999999999</v>
      </c>
      <c r="K14" s="32">
        <v>1.016</v>
      </c>
      <c r="L14" s="33" t="s">
        <v>42</v>
      </c>
      <c r="M14" s="31">
        <f>0.0622*1+0</f>
        <v>6.2199999999999998E-2</v>
      </c>
      <c r="N14" s="31">
        <f>0.0622*1+0.0001</f>
        <v>6.2300000000000001E-2</v>
      </c>
      <c r="O14" s="31">
        <f>0.0622*1+0.0272</f>
        <v>8.9399999999999993E-2</v>
      </c>
      <c r="P14" s="31">
        <f>0.0622*1+0.0649</f>
        <v>0.12709999999999999</v>
      </c>
      <c r="Q14" s="31">
        <f>0.0622*1+0.1405</f>
        <v>0.20270000000000002</v>
      </c>
      <c r="R14" s="31">
        <f>0.0622*1+0.198</f>
        <v>0.26019999999999999</v>
      </c>
      <c r="S14" s="31">
        <f>0.0622*1+0.5393</f>
        <v>0.60150000000000003</v>
      </c>
      <c r="T14" s="31">
        <f>0.0622*1+0.6162</f>
        <v>0.6784</v>
      </c>
      <c r="U14" s="34">
        <f>0.0622*1+0.697</f>
        <v>0.75919999999999999</v>
      </c>
      <c r="V14" s="34">
        <f>0.0622*1+0.7789</f>
        <v>0.84110000000000007</v>
      </c>
    </row>
    <row r="15" spans="1:22" ht="15" customHeight="1" x14ac:dyDescent="0.25">
      <c r="A15" s="30" t="s">
        <v>43</v>
      </c>
      <c r="B15" s="31">
        <v>1.218</v>
      </c>
      <c r="C15" s="31">
        <v>1.631</v>
      </c>
      <c r="D15" s="31">
        <v>1.887</v>
      </c>
      <c r="E15" s="31">
        <v>1.946</v>
      </c>
      <c r="F15" s="31">
        <v>1.9490000000000001</v>
      </c>
      <c r="G15" s="31">
        <v>1.821</v>
      </c>
      <c r="H15" s="31">
        <v>1.4339999999999999</v>
      </c>
      <c r="I15" s="31">
        <v>1.274</v>
      </c>
      <c r="J15" s="31">
        <v>1.143</v>
      </c>
      <c r="K15" s="32">
        <v>1.026</v>
      </c>
      <c r="L15" s="33" t="s">
        <v>43</v>
      </c>
      <c r="M15" s="31">
        <f>0.0562*1+0</f>
        <v>5.62E-2</v>
      </c>
      <c r="N15" s="31">
        <f>0.0562*1+0.0007</f>
        <v>5.6899999999999999E-2</v>
      </c>
      <c r="O15" s="31">
        <f>0.0562*1+0.026</f>
        <v>8.2199999999999995E-2</v>
      </c>
      <c r="P15" s="31">
        <f>0.0562*1+0.0667</f>
        <v>0.1229</v>
      </c>
      <c r="Q15" s="31">
        <f>0.0562*1+0.1401</f>
        <v>0.1963</v>
      </c>
      <c r="R15" s="31">
        <f>0.0562*1+0.3371</f>
        <v>0.39329999999999998</v>
      </c>
      <c r="S15" s="31">
        <f>0.0562*1+0.5292</f>
        <v>0.58540000000000003</v>
      </c>
      <c r="T15" s="31">
        <f>0.0562*1+0.6069</f>
        <v>0.66310000000000002</v>
      </c>
      <c r="U15" s="34">
        <f>0.0562*1+0.6887</f>
        <v>0.74490000000000001</v>
      </c>
      <c r="V15" s="34">
        <f>0.0562*1+0.7717</f>
        <v>0.82790000000000008</v>
      </c>
    </row>
    <row r="16" spans="1:22" ht="15" customHeight="1" x14ac:dyDescent="0.25">
      <c r="A16" s="30" t="s">
        <v>44</v>
      </c>
      <c r="B16" s="31">
        <v>1.3069999999999999</v>
      </c>
      <c r="C16" s="31">
        <v>1.7090000000000001</v>
      </c>
      <c r="D16" s="31">
        <v>1.954</v>
      </c>
      <c r="E16" s="31">
        <v>1.9970000000000001</v>
      </c>
      <c r="F16" s="31">
        <v>1.9710000000000001</v>
      </c>
      <c r="G16" s="31">
        <v>1.8460000000000001</v>
      </c>
      <c r="H16" s="31">
        <v>1.456</v>
      </c>
      <c r="I16" s="31">
        <v>1.292</v>
      </c>
      <c r="J16" s="31">
        <v>1.157</v>
      </c>
      <c r="K16" s="32">
        <v>1.036</v>
      </c>
      <c r="L16" s="33" t="s">
        <v>44</v>
      </c>
      <c r="M16" s="31">
        <f>0.0503*1+0</f>
        <v>5.0299999999999997E-2</v>
      </c>
      <c r="N16" s="31">
        <f>0.0503*1+0.0013</f>
        <v>5.16E-2</v>
      </c>
      <c r="O16" s="31">
        <f>0.0503*1+0.0248</f>
        <v>7.51E-2</v>
      </c>
      <c r="P16" s="31">
        <f>0.0503*1+0.0684</f>
        <v>0.1187</v>
      </c>
      <c r="Q16" s="31">
        <f>0.0503*1+0.1397</f>
        <v>0.19</v>
      </c>
      <c r="R16" s="31">
        <f>0.0503*1+0.4763</f>
        <v>0.52659999999999996</v>
      </c>
      <c r="S16" s="31">
        <f>0.0503*1+0.5191</f>
        <v>0.56940000000000002</v>
      </c>
      <c r="T16" s="31">
        <f>0.0503*1+0.5977</f>
        <v>0.64800000000000002</v>
      </c>
      <c r="U16" s="34">
        <f>0.0503*1+0.6805</f>
        <v>0.73080000000000001</v>
      </c>
      <c r="V16" s="34">
        <f>0.0503*1+0.7646</f>
        <v>0.81489999999999996</v>
      </c>
    </row>
    <row r="17" spans="1:22" ht="15" customHeight="1" x14ac:dyDescent="0.25">
      <c r="A17" s="30" t="s">
        <v>45</v>
      </c>
      <c r="B17" s="31">
        <v>1.38</v>
      </c>
      <c r="C17" s="31">
        <v>1.776</v>
      </c>
      <c r="D17" s="31">
        <v>2.0099999999999998</v>
      </c>
      <c r="E17" s="31">
        <v>2.044</v>
      </c>
      <c r="F17" s="31">
        <v>1.9930000000000001</v>
      </c>
      <c r="G17" s="31">
        <v>1.8580000000000001</v>
      </c>
      <c r="H17" s="31">
        <v>1.464</v>
      </c>
      <c r="I17" s="31">
        <v>1.2989999999999999</v>
      </c>
      <c r="J17" s="31">
        <v>1.1619999999999999</v>
      </c>
      <c r="K17" s="32">
        <v>1.04</v>
      </c>
      <c r="L17" s="33" t="s">
        <v>45</v>
      </c>
      <c r="M17" s="31">
        <f>0.0443*1+0</f>
        <v>4.4299999999999999E-2</v>
      </c>
      <c r="N17" s="31">
        <f>0.0443*1+0.0024</f>
        <v>4.6699999999999998E-2</v>
      </c>
      <c r="O17" s="31">
        <f>0.0443*1+0.0244</f>
        <v>6.8699999999999997E-2</v>
      </c>
      <c r="P17" s="31">
        <f>0.0443*1+0.0721</f>
        <v>0.1164</v>
      </c>
      <c r="Q17" s="31">
        <f>0.0443*1+0.1428</f>
        <v>0.18710000000000002</v>
      </c>
      <c r="R17" s="31">
        <f>0.0443*1+0.5</f>
        <v>0.54430000000000001</v>
      </c>
      <c r="S17" s="31">
        <f>0.0443*1+0.5437</f>
        <v>0.58799999999999997</v>
      </c>
      <c r="T17" s="31">
        <f>0.0443*1+0.6213</f>
        <v>0.66559999999999997</v>
      </c>
      <c r="U17" s="34">
        <f>0.0443*1+0.7029</f>
        <v>0.74719999999999998</v>
      </c>
      <c r="V17" s="34">
        <f>0.0443*1+0.7857</f>
        <v>0.83</v>
      </c>
    </row>
    <row r="18" spans="1:22" ht="15" customHeight="1" x14ac:dyDescent="0.25">
      <c r="A18" s="30" t="s">
        <v>46</v>
      </c>
      <c r="B18" s="31">
        <v>1.4530000000000001</v>
      </c>
      <c r="C18" s="31">
        <v>1.843</v>
      </c>
      <c r="D18" s="31">
        <v>2.0649999999999999</v>
      </c>
      <c r="E18" s="31">
        <v>2.09</v>
      </c>
      <c r="F18" s="31">
        <v>2.016</v>
      </c>
      <c r="G18" s="31">
        <v>1.869</v>
      </c>
      <c r="H18" s="31">
        <v>1.4730000000000001</v>
      </c>
      <c r="I18" s="31">
        <v>1.3049999999999999</v>
      </c>
      <c r="J18" s="31">
        <v>1.167</v>
      </c>
      <c r="K18" s="32">
        <v>1.044</v>
      </c>
      <c r="L18" s="33" t="s">
        <v>46</v>
      </c>
      <c r="M18" s="31">
        <f>0.0384*1+0</f>
        <v>3.8399999999999997E-2</v>
      </c>
      <c r="N18" s="31">
        <f>0.0384*1+0.0036</f>
        <v>4.1999999999999996E-2</v>
      </c>
      <c r="O18" s="31">
        <f>0.0384*1+0.0241</f>
        <v>6.25E-2</v>
      </c>
      <c r="P18" s="31">
        <f>0.0384*1+0.0757</f>
        <v>0.11410000000000001</v>
      </c>
      <c r="Q18" s="31">
        <f>0.0384*1+0.146</f>
        <v>0.18439999999999998</v>
      </c>
      <c r="R18" s="31">
        <f>0.0384*1+0.5238</f>
        <v>0.56220000000000003</v>
      </c>
      <c r="S18" s="31">
        <f>0.0384*1+0.5682</f>
        <v>0.60660000000000003</v>
      </c>
      <c r="T18" s="31">
        <f>0.0384*1+0.6448</f>
        <v>0.68320000000000003</v>
      </c>
      <c r="U18" s="34">
        <f>0.0384*1+0.7253</f>
        <v>0.76369999999999993</v>
      </c>
      <c r="V18" s="34">
        <f>0.0384*1+0.8069</f>
        <v>0.84529999999999994</v>
      </c>
    </row>
    <row r="19" spans="1:22" ht="15" customHeight="1" x14ac:dyDescent="0.25">
      <c r="A19" s="30" t="s">
        <v>47</v>
      </c>
      <c r="B19" s="31">
        <v>1.526</v>
      </c>
      <c r="C19" s="31">
        <v>1.91</v>
      </c>
      <c r="D19" s="31">
        <v>2.121</v>
      </c>
      <c r="E19" s="31">
        <v>2.137</v>
      </c>
      <c r="F19" s="31">
        <v>2.0379999999999998</v>
      </c>
      <c r="G19" s="31">
        <v>1.881</v>
      </c>
      <c r="H19" s="31">
        <v>1.4810000000000001</v>
      </c>
      <c r="I19" s="31">
        <v>1.3120000000000001</v>
      </c>
      <c r="J19" s="31">
        <v>1.1719999999999999</v>
      </c>
      <c r="K19" s="32">
        <v>1.048</v>
      </c>
      <c r="L19" s="33" t="s">
        <v>47</v>
      </c>
      <c r="M19" s="31">
        <f>0.0324*1+0</f>
        <v>3.2399999999999998E-2</v>
      </c>
      <c r="N19" s="31">
        <f>0.0324*1+0.0047</f>
        <v>3.7100000000000001E-2</v>
      </c>
      <c r="O19" s="31">
        <f>0.0324*1+0.0237</f>
        <v>5.6099999999999997E-2</v>
      </c>
      <c r="P19" s="31">
        <f>0.0324*1+0.0794</f>
        <v>0.1118</v>
      </c>
      <c r="Q19" s="31">
        <f>0.0324*1+0.1491</f>
        <v>0.18149999999999999</v>
      </c>
      <c r="R19" s="31">
        <f>0.0324*1+0.5475</f>
        <v>0.57989999999999997</v>
      </c>
      <c r="S19" s="31">
        <f>0.0324*1+0.5928</f>
        <v>0.62519999999999998</v>
      </c>
      <c r="T19" s="31">
        <f>0.0324*1+0.6684</f>
        <v>0.70079999999999998</v>
      </c>
      <c r="U19" s="34">
        <f>0.0324*1+0.7477</f>
        <v>0.78010000000000002</v>
      </c>
      <c r="V19" s="34">
        <f>0.0324*1+0.828</f>
        <v>0.86039999999999994</v>
      </c>
    </row>
    <row r="22" spans="1:22" ht="15" customHeight="1" x14ac:dyDescent="0.25">
      <c r="A22" s="35"/>
    </row>
    <row r="23" spans="1:22" ht="15" customHeight="1" x14ac:dyDescent="0.25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</row>
    <row r="24" spans="1:22" ht="15" customHeight="1" x14ac:dyDescent="0.25">
      <c r="A24" s="37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</row>
    <row r="25" spans="1:22" ht="15" customHeight="1" x14ac:dyDescent="0.25">
      <c r="A25" s="37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</row>
    <row r="26" spans="1:22" ht="15" customHeight="1" x14ac:dyDescent="0.25">
      <c r="A26" s="37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</row>
    <row r="27" spans="1:22" ht="15" customHeight="1" x14ac:dyDescent="0.25">
      <c r="A27" s="37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</row>
    <row r="28" spans="1:22" ht="15" customHeight="1" x14ac:dyDescent="0.25">
      <c r="A28" s="37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</row>
    <row r="29" spans="1:22" ht="15" customHeight="1" x14ac:dyDescent="0.25">
      <c r="A29" s="37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</row>
    <row r="30" spans="1:22" ht="15" customHeight="1" x14ac:dyDescent="0.25">
      <c r="A30" s="37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</row>
    <row r="31" spans="1:22" ht="15" customHeight="1" x14ac:dyDescent="0.25">
      <c r="A31" s="37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</row>
    <row r="32" spans="1:22" ht="15" customHeight="1" x14ac:dyDescent="0.25">
      <c r="A32" s="37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</row>
    <row r="33" spans="1:16" ht="15" customHeight="1" x14ac:dyDescent="0.25">
      <c r="A33" s="37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</row>
    <row r="34" spans="1:16" ht="15" customHeight="1" x14ac:dyDescent="0.25">
      <c r="A34" s="37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</row>
    <row r="35" spans="1:16" ht="15" customHeight="1" x14ac:dyDescent="0.25">
      <c r="A35" s="37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</row>
    <row r="36" spans="1:16" ht="15" customHeight="1" x14ac:dyDescent="0.25">
      <c r="A36" s="37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</row>
    <row r="37" spans="1:16" ht="15" customHeight="1" x14ac:dyDescent="0.25">
      <c r="A37" s="37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</row>
    <row r="38" spans="1:16" ht="15" customHeight="1" x14ac:dyDescent="0.25">
      <c r="A38" s="37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</row>
    <row r="39" spans="1:16" ht="15" customHeight="1" x14ac:dyDescent="0.25">
      <c r="A39" s="37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</row>
    <row r="40" spans="1:16" ht="15" customHeight="1" x14ac:dyDescent="0.25">
      <c r="A40" s="37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</row>
    <row r="41" spans="1:16" ht="15" customHeight="1" x14ac:dyDescent="0.25">
      <c r="A41" s="37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</row>
    <row r="42" spans="1:16" ht="15" customHeight="1" x14ac:dyDescent="0.25">
      <c r="A42" s="37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</row>
    <row r="43" spans="1:16" ht="15" customHeight="1" x14ac:dyDescent="0.25">
      <c r="A43" s="37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</row>
    <row r="44" spans="1:16" ht="15" customHeight="1" x14ac:dyDescent="0.25">
      <c r="A44" s="37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</row>
    <row r="45" spans="1:16" ht="15" customHeight="1" x14ac:dyDescent="0.25">
      <c r="A45" s="37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</row>
    <row r="46" spans="1:16" ht="15" customHeight="1" x14ac:dyDescent="0.25">
      <c r="A46" s="37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</row>
    <row r="47" spans="1:16" ht="15" customHeight="1" x14ac:dyDescent="0.25">
      <c r="A47" s="37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</row>
    <row r="48" spans="1:16" ht="15" customHeight="1" x14ac:dyDescent="0.25">
      <c r="A48" s="37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</row>
    <row r="49" spans="1:16" ht="15" customHeight="1" x14ac:dyDescent="0.25">
      <c r="A49" s="37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</row>
    <row r="50" spans="1:16" ht="15" customHeight="1" x14ac:dyDescent="0.25">
      <c r="A50" s="37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</row>
    <row r="51" spans="1:16" ht="15" customHeight="1" x14ac:dyDescent="0.25">
      <c r="A51" s="37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</row>
    <row r="52" spans="1:16" ht="15" customHeight="1" x14ac:dyDescent="0.25">
      <c r="A52" s="37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</row>
    <row r="53" spans="1:16" ht="15" customHeight="1" x14ac:dyDescent="0.25">
      <c r="A53" s="37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</row>
    <row r="54" spans="1:16" ht="15" customHeight="1" x14ac:dyDescent="0.25">
      <c r="A54" s="37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</row>
    <row r="55" spans="1:16" ht="15" customHeight="1" x14ac:dyDescent="0.25">
      <c r="A55" s="37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</row>
    <row r="56" spans="1:16" ht="15" customHeight="1" x14ac:dyDescent="0.25">
      <c r="A56" s="37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</row>
    <row r="57" spans="1:16" ht="15" customHeight="1" x14ac:dyDescent="0.25">
      <c r="A57" s="37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</row>
    <row r="58" spans="1:16" ht="15" customHeight="1" x14ac:dyDescent="0.25">
      <c r="A58" s="37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</row>
    <row r="59" spans="1:16" ht="15" customHeight="1" x14ac:dyDescent="0.25">
      <c r="A59" s="37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</row>
    <row r="60" spans="1:16" ht="15" customHeight="1" x14ac:dyDescent="0.25">
      <c r="A60" s="37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</row>
    <row r="61" spans="1:16" ht="15" customHeight="1" x14ac:dyDescent="0.25">
      <c r="A61" s="37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</row>
    <row r="62" spans="1:16" ht="15" customHeight="1" x14ac:dyDescent="0.25">
      <c r="A62" s="37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</row>
    <row r="63" spans="1:16" ht="15" customHeight="1" x14ac:dyDescent="0.25">
      <c r="A63" s="37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</row>
    <row r="64" spans="1:16" ht="15" customHeight="1" x14ac:dyDescent="0.25">
      <c r="A64" s="37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</row>
    <row r="65" spans="1:16" ht="15" customHeight="1" x14ac:dyDescent="0.25">
      <c r="A65" s="37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</row>
    <row r="66" spans="1:16" ht="15" customHeight="1" x14ac:dyDescent="0.25">
      <c r="A66" s="37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</row>
    <row r="67" spans="1:16" ht="15" customHeight="1" x14ac:dyDescent="0.25">
      <c r="A67" s="37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</row>
    <row r="68" spans="1:16" ht="15" customHeight="1" x14ac:dyDescent="0.25">
      <c r="A68" s="37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</row>
    <row r="69" spans="1:16" ht="15" customHeight="1" x14ac:dyDescent="0.25">
      <c r="A69" s="37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</row>
  </sheetData>
  <conditionalFormatting sqref="B4:K19">
    <cfRule type="colorScale" priority="2">
      <colorScale>
        <cfvo type="min"/>
        <cfvo type="percentile" val="50"/>
        <cfvo type="max"/>
        <color rgb="FFEBF5FB"/>
        <color rgb="FF2980B9"/>
        <color rgb="FF1A5276"/>
      </colorScale>
    </cfRule>
  </conditionalFormatting>
  <conditionalFormatting sqref="M4:V19">
    <cfRule type="colorScale" priority="3">
      <colorScale>
        <cfvo type="min"/>
        <cfvo type="percentile" val="50"/>
        <cfvo type="max"/>
        <color rgb="FFE9F7EF"/>
        <color rgb="FFF39C12"/>
        <color rgb="FF922B21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69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7109375" defaultRowHeight="15" x14ac:dyDescent="0.25"/>
  <cols>
    <col min="1" max="1" width="8" style="1" customWidth="1"/>
    <col min="2" max="17" width="7" style="1" customWidth="1"/>
    <col min="18" max="22" width="8" style="1" customWidth="1"/>
  </cols>
  <sheetData>
    <row r="1" spans="1:22" ht="19.5" customHeight="1" x14ac:dyDescent="0.25">
      <c r="A1" s="25" t="s">
        <v>56</v>
      </c>
    </row>
    <row r="2" spans="1:22" ht="15" customHeight="1" x14ac:dyDescent="0.25">
      <c r="B2" s="26" t="s">
        <v>19</v>
      </c>
      <c r="L2" s="27"/>
      <c r="M2" s="11" t="s">
        <v>20</v>
      </c>
    </row>
    <row r="3" spans="1:22" ht="15" customHeight="1" x14ac:dyDescent="0.25">
      <c r="A3" s="28" t="s">
        <v>21</v>
      </c>
      <c r="B3" s="28" t="s">
        <v>22</v>
      </c>
      <c r="C3" s="28" t="s">
        <v>23</v>
      </c>
      <c r="D3" s="28" t="s">
        <v>24</v>
      </c>
      <c r="E3" s="28" t="s">
        <v>25</v>
      </c>
      <c r="F3" s="28" t="s">
        <v>26</v>
      </c>
      <c r="G3" s="28" t="s">
        <v>27</v>
      </c>
      <c r="H3" s="28" t="s">
        <v>28</v>
      </c>
      <c r="I3" s="28" t="s">
        <v>29</v>
      </c>
      <c r="J3" s="28" t="s">
        <v>30</v>
      </c>
      <c r="K3" s="29" t="s">
        <v>31</v>
      </c>
      <c r="L3" s="28" t="s">
        <v>21</v>
      </c>
      <c r="M3" s="28" t="s">
        <v>22</v>
      </c>
      <c r="N3" s="28" t="s">
        <v>23</v>
      </c>
      <c r="O3" s="28" t="s">
        <v>24</v>
      </c>
      <c r="P3" s="28" t="s">
        <v>25</v>
      </c>
      <c r="Q3" s="28" t="s">
        <v>26</v>
      </c>
      <c r="R3" s="28" t="s">
        <v>27</v>
      </c>
      <c r="S3" s="28" t="s">
        <v>28</v>
      </c>
      <c r="T3" s="28" t="s">
        <v>29</v>
      </c>
      <c r="U3" s="29" t="s">
        <v>30</v>
      </c>
      <c r="V3" s="29" t="s">
        <v>31</v>
      </c>
    </row>
    <row r="4" spans="1:22" ht="15" customHeight="1" x14ac:dyDescent="0.25">
      <c r="A4" s="30" t="s">
        <v>32</v>
      </c>
      <c r="B4" s="31">
        <v>0</v>
      </c>
      <c r="C4" s="31">
        <v>0.52700000000000002</v>
      </c>
      <c r="D4" s="31">
        <v>1.022</v>
      </c>
      <c r="E4" s="31">
        <v>1.407</v>
      </c>
      <c r="F4" s="31">
        <v>1.6180000000000001</v>
      </c>
      <c r="G4" s="31">
        <v>1.4370000000000001</v>
      </c>
      <c r="H4" s="31">
        <v>1.2310000000000001</v>
      </c>
      <c r="I4" s="31">
        <v>1.117</v>
      </c>
      <c r="J4" s="31">
        <v>1.02</v>
      </c>
      <c r="K4" s="32">
        <v>0.93100000000000005</v>
      </c>
      <c r="L4" s="33" t="s">
        <v>32</v>
      </c>
      <c r="M4" s="31">
        <f>0.01*0.979+0</f>
        <v>9.7900000000000001E-3</v>
      </c>
      <c r="N4" s="31">
        <f>0.01*0.979+0.0257</f>
        <v>3.5490000000000001E-2</v>
      </c>
      <c r="O4" s="31">
        <f>0.01*0.979+0.0966</f>
        <v>0.10639000000000001</v>
      </c>
      <c r="P4" s="31">
        <f>0.01*0.979+0.183</f>
        <v>0.19278999999999999</v>
      </c>
      <c r="Q4" s="31">
        <f>0.01*0.979+0.2421</f>
        <v>0.25189</v>
      </c>
      <c r="R4" s="31">
        <f>0.01*0.979+0.1909</f>
        <v>0.20068999999999998</v>
      </c>
      <c r="S4" s="31">
        <f>0.01*0.979+0.418</f>
        <v>0.42779</v>
      </c>
      <c r="T4" s="31">
        <f>0.01*0.979+0.5043</f>
        <v>0.51408999999999994</v>
      </c>
      <c r="U4" s="34">
        <f>0.01*0.979+0.5957</f>
        <v>0.60548999999999997</v>
      </c>
      <c r="V4" s="34">
        <f>0.01*0.979+0.6894</f>
        <v>0.69918999999999998</v>
      </c>
    </row>
    <row r="5" spans="1:22" ht="15" customHeight="1" x14ac:dyDescent="0.25">
      <c r="A5" s="30" t="s">
        <v>33</v>
      </c>
      <c r="B5" s="31">
        <v>0.126</v>
      </c>
      <c r="C5" s="31">
        <v>0.64700000000000002</v>
      </c>
      <c r="D5" s="31">
        <v>1.109</v>
      </c>
      <c r="E5" s="31">
        <v>1.47</v>
      </c>
      <c r="F5" s="31">
        <v>1.661</v>
      </c>
      <c r="G5" s="31">
        <v>1.49</v>
      </c>
      <c r="H5" s="31">
        <v>1.256</v>
      </c>
      <c r="I5" s="31">
        <v>1.1359999999999999</v>
      </c>
      <c r="J5" s="31">
        <v>1.0349999999999999</v>
      </c>
      <c r="K5" s="32">
        <v>0.94299999999999995</v>
      </c>
      <c r="L5" s="33" t="s">
        <v>33</v>
      </c>
      <c r="M5" s="31">
        <f>0.0121*0.979+0</f>
        <v>1.1845899999999999E-2</v>
      </c>
      <c r="N5" s="31">
        <f>0.0121*0.979+0.0242</f>
        <v>3.6045899999999999E-2</v>
      </c>
      <c r="O5" s="31">
        <f>0.0121*0.979+0.0892</f>
        <v>0.10104589999999999</v>
      </c>
      <c r="P5" s="31">
        <f>0.0121*0.979+0.1688</f>
        <v>0.1806459</v>
      </c>
      <c r="Q5" s="31">
        <f>0.0121*0.979+0.2238</f>
        <v>0.23564589999999999</v>
      </c>
      <c r="R5" s="31">
        <f>0.0121*0.979+0.1865</f>
        <v>0.19834589999999999</v>
      </c>
      <c r="S5" s="31">
        <f>0.0121*0.979+0.4328</f>
        <v>0.44464590000000004</v>
      </c>
      <c r="T5" s="31">
        <f>0.0121*0.979+0.5182</f>
        <v>0.53004589999999996</v>
      </c>
      <c r="U5" s="34">
        <f>0.0121*0.979+0.6086</f>
        <v>0.62044589999999999</v>
      </c>
      <c r="V5" s="34">
        <f>0.0121*0.979+0.7011</f>
        <v>0.71294589999999991</v>
      </c>
    </row>
    <row r="6" spans="1:22" ht="15" customHeight="1" x14ac:dyDescent="0.25">
      <c r="A6" s="30" t="s">
        <v>34</v>
      </c>
      <c r="B6" s="31">
        <v>0.252</v>
      </c>
      <c r="C6" s="31">
        <v>0.76600000000000001</v>
      </c>
      <c r="D6" s="31">
        <v>1.196</v>
      </c>
      <c r="E6" s="31">
        <v>1.534</v>
      </c>
      <c r="F6" s="31">
        <v>1.704</v>
      </c>
      <c r="G6" s="31">
        <v>1.5429999999999999</v>
      </c>
      <c r="H6" s="31">
        <v>1.2809999999999999</v>
      </c>
      <c r="I6" s="31">
        <v>1.155</v>
      </c>
      <c r="J6" s="31">
        <v>1.05</v>
      </c>
      <c r="K6" s="32">
        <v>0.95399999999999996</v>
      </c>
      <c r="L6" s="33" t="s">
        <v>34</v>
      </c>
      <c r="M6" s="31">
        <f>0.0142*0.979+0</f>
        <v>1.3901800000000001E-2</v>
      </c>
      <c r="N6" s="31">
        <f>0.0142*0.979+0.0226</f>
        <v>3.6501800000000001E-2</v>
      </c>
      <c r="O6" s="31">
        <f>0.0142*0.979+0.0818</f>
        <v>9.5701800000000004E-2</v>
      </c>
      <c r="P6" s="31">
        <f>0.0142*0.979+0.1545</f>
        <v>0.16840179999999999</v>
      </c>
      <c r="Q6" s="31">
        <f>0.0142*0.979+0.2054</f>
        <v>0.21930179999999999</v>
      </c>
      <c r="R6" s="31">
        <f>0.0142*0.979+0.1821</f>
        <v>0.1960018</v>
      </c>
      <c r="S6" s="31">
        <f>0.0142*0.979+0.4477</f>
        <v>0.46160180000000001</v>
      </c>
      <c r="T6" s="31">
        <f>0.0142*0.979+0.5321</f>
        <v>0.54600179999999998</v>
      </c>
      <c r="U6" s="34">
        <f>0.0142*0.979+0.6215</f>
        <v>0.63540180000000002</v>
      </c>
      <c r="V6" s="34">
        <f>0.0142*0.979+0.7129</f>
        <v>0.72680179999999994</v>
      </c>
    </row>
    <row r="7" spans="1:22" ht="15" customHeight="1" x14ac:dyDescent="0.25">
      <c r="A7" s="30" t="s">
        <v>35</v>
      </c>
      <c r="B7" s="31">
        <v>0.376</v>
      </c>
      <c r="C7" s="31">
        <v>0.873</v>
      </c>
      <c r="D7" s="31">
        <v>1.278</v>
      </c>
      <c r="E7" s="31">
        <v>1.591</v>
      </c>
      <c r="F7" s="31">
        <v>1.738</v>
      </c>
      <c r="G7" s="31">
        <v>1.585</v>
      </c>
      <c r="H7" s="31">
        <v>1.3009999999999999</v>
      </c>
      <c r="I7" s="31">
        <v>1.171</v>
      </c>
      <c r="J7" s="31">
        <v>1.0620000000000001</v>
      </c>
      <c r="K7" s="32">
        <v>0.96399999999999997</v>
      </c>
      <c r="L7" s="33" t="s">
        <v>35</v>
      </c>
      <c r="M7" s="31">
        <f>0.0163*0.979+0</f>
        <v>1.5957699999999998E-2</v>
      </c>
      <c r="N7" s="31">
        <f>0.0163*0.979+0.0201</f>
        <v>3.6057699999999998E-2</v>
      </c>
      <c r="O7" s="31">
        <f>0.0163*0.979+0.0745</f>
        <v>9.0457700000000002E-2</v>
      </c>
      <c r="P7" s="31">
        <f>0.0163*0.979+0.1407</f>
        <v>0.15665769999999998</v>
      </c>
      <c r="Q7" s="31">
        <f>0.0163*0.979+0.1882</f>
        <v>0.2041577</v>
      </c>
      <c r="R7" s="31">
        <f>0.0163*0.979+0.1778</f>
        <v>0.1937577</v>
      </c>
      <c r="S7" s="31">
        <f>0.0163*0.979+0.4618</f>
        <v>0.47775770000000001</v>
      </c>
      <c r="T7" s="31">
        <f>0.0163*0.979+0.5453</f>
        <v>0.56125769999999997</v>
      </c>
      <c r="U7" s="34">
        <f>0.0163*0.979+0.6338</f>
        <v>0.64975769999999999</v>
      </c>
      <c r="V7" s="34">
        <f>0.0163*0.979+0.724</f>
        <v>0.73995769999999994</v>
      </c>
    </row>
    <row r="8" spans="1:22" ht="15" customHeight="1" x14ac:dyDescent="0.25">
      <c r="A8" s="30" t="s">
        <v>36</v>
      </c>
      <c r="B8" s="31">
        <v>0.499</v>
      </c>
      <c r="C8" s="31">
        <v>0.97899999999999998</v>
      </c>
      <c r="D8" s="31">
        <v>1.36</v>
      </c>
      <c r="E8" s="31">
        <v>1.647</v>
      </c>
      <c r="F8" s="31">
        <v>1.7729999999999999</v>
      </c>
      <c r="G8" s="31">
        <v>1.627</v>
      </c>
      <c r="H8" s="31">
        <v>1.321</v>
      </c>
      <c r="I8" s="31">
        <v>1.1870000000000001</v>
      </c>
      <c r="J8" s="31">
        <v>1.075</v>
      </c>
      <c r="K8" s="32">
        <v>0.97299999999999998</v>
      </c>
      <c r="L8" s="33" t="s">
        <v>36</v>
      </c>
      <c r="M8" s="31">
        <f>0.0185*0.979+0</f>
        <v>1.8111499999999999E-2</v>
      </c>
      <c r="N8" s="31">
        <f>0.0185*0.979+0.0175</f>
        <v>3.5611500000000004E-2</v>
      </c>
      <c r="O8" s="31">
        <f>0.0185*0.979+0.0672</f>
        <v>8.5311499999999998E-2</v>
      </c>
      <c r="P8" s="31">
        <f>0.0185*0.979+0.1269</f>
        <v>0.14501150000000002</v>
      </c>
      <c r="Q8" s="31">
        <f>0.0185*0.979+0.171</f>
        <v>0.18911150000000002</v>
      </c>
      <c r="R8" s="31">
        <f>0.0185*0.979+0.1735</f>
        <v>0.19161149999999999</v>
      </c>
      <c r="S8" s="31">
        <f>0.0185*0.979+0.4759</f>
        <v>0.49401149999999999</v>
      </c>
      <c r="T8" s="31">
        <f>0.0185*0.979+0.5585</f>
        <v>0.57661149999999994</v>
      </c>
      <c r="U8" s="34">
        <f>0.0185*0.979+0.646</f>
        <v>0.66411149999999997</v>
      </c>
      <c r="V8" s="34">
        <f>0.0185*0.979+0.7351</f>
        <v>0.75321149999999992</v>
      </c>
    </row>
    <row r="9" spans="1:22" ht="15" customHeight="1" x14ac:dyDescent="0.25">
      <c r="A9" s="30" t="s">
        <v>37</v>
      </c>
      <c r="B9" s="31">
        <v>0.61399999999999999</v>
      </c>
      <c r="C9" s="31">
        <v>1.077</v>
      </c>
      <c r="D9" s="31">
        <v>1.44</v>
      </c>
      <c r="E9" s="31">
        <v>1.6919999999999999</v>
      </c>
      <c r="F9" s="31">
        <v>1.8009999999999999</v>
      </c>
      <c r="G9" s="31">
        <v>1.66</v>
      </c>
      <c r="H9" s="31">
        <v>1.3380000000000001</v>
      </c>
      <c r="I9" s="31">
        <v>1.2</v>
      </c>
      <c r="J9" s="31">
        <v>1.0860000000000001</v>
      </c>
      <c r="K9" s="32">
        <v>0.98099999999999998</v>
      </c>
      <c r="L9" s="33" t="s">
        <v>37</v>
      </c>
      <c r="M9" s="31">
        <f>0.0206*0.979+0</f>
        <v>2.0167399999999999E-2</v>
      </c>
      <c r="N9" s="31">
        <f>0.0206*0.979+0.0151</f>
        <v>3.5267399999999997E-2</v>
      </c>
      <c r="O9" s="31">
        <f>0.0206*0.979+0.0614</f>
        <v>8.1567399999999998E-2</v>
      </c>
      <c r="P9" s="31">
        <f>0.0206*0.979+0.1143</f>
        <v>0.13446739999999999</v>
      </c>
      <c r="Q9" s="31">
        <f>0.0206*0.979+0.1573</f>
        <v>0.1774674</v>
      </c>
      <c r="R9" s="31">
        <f>0.0206*0.979+0.1717</f>
        <v>0.19186739999999999</v>
      </c>
      <c r="S9" s="31">
        <f>0.0206*0.979+0.4948</f>
        <v>0.51496739999999996</v>
      </c>
      <c r="T9" s="31">
        <f>0.0206*0.979+0.5763</f>
        <v>0.59646739999999998</v>
      </c>
      <c r="U9" s="34">
        <f>0.0206*0.979+0.6624</f>
        <v>0.68256739999999994</v>
      </c>
      <c r="V9" s="34">
        <f>0.0206*0.979+0.7502</f>
        <v>0.77036739999999992</v>
      </c>
    </row>
    <row r="10" spans="1:22" ht="15" customHeight="1" x14ac:dyDescent="0.25">
      <c r="A10" s="30" t="s">
        <v>38</v>
      </c>
      <c r="B10" s="31">
        <v>0.72899999999999998</v>
      </c>
      <c r="C10" s="31">
        <v>1.175</v>
      </c>
      <c r="D10" s="31">
        <v>1.5189999999999999</v>
      </c>
      <c r="E10" s="31">
        <v>1.738</v>
      </c>
      <c r="F10" s="31">
        <v>1.83</v>
      </c>
      <c r="G10" s="31">
        <v>1.694</v>
      </c>
      <c r="H10" s="31">
        <v>1.355</v>
      </c>
      <c r="I10" s="31">
        <v>1.2130000000000001</v>
      </c>
      <c r="J10" s="31">
        <v>1.0960000000000001</v>
      </c>
      <c r="K10" s="32">
        <v>0.98899999999999999</v>
      </c>
      <c r="L10" s="33" t="s">
        <v>38</v>
      </c>
      <c r="M10" s="31">
        <f>0.0227*0.979+0</f>
        <v>2.2223300000000001E-2</v>
      </c>
      <c r="N10" s="31">
        <f>0.0227*0.979+0.0127</f>
        <v>3.4923300000000004E-2</v>
      </c>
      <c r="O10" s="31">
        <f>0.0227*0.979+0.0557</f>
        <v>7.7923300000000001E-2</v>
      </c>
      <c r="P10" s="31">
        <f>0.0227*0.979+0.1017</f>
        <v>0.1239233</v>
      </c>
      <c r="Q10" s="31">
        <f>0.0227*0.979+0.1435</f>
        <v>0.16572329999999999</v>
      </c>
      <c r="R10" s="31">
        <f>0.0227*0.979+0.1699</f>
        <v>0.1921233</v>
      </c>
      <c r="S10" s="31">
        <f>0.0227*0.979+0.5137</f>
        <v>0.5359233000000001</v>
      </c>
      <c r="T10" s="31">
        <f>0.0227*0.979+0.5941</f>
        <v>0.61632329999999991</v>
      </c>
      <c r="U10" s="34">
        <f>0.0227*0.979+0.6789</f>
        <v>0.70112329999999989</v>
      </c>
      <c r="V10" s="34">
        <f>0.0227*0.979+0.7653</f>
        <v>0.78752329999999993</v>
      </c>
    </row>
    <row r="11" spans="1:22" ht="15" customHeight="1" x14ac:dyDescent="0.25">
      <c r="A11" s="30" t="s">
        <v>39</v>
      </c>
      <c r="B11" s="31">
        <v>0.83299999999999996</v>
      </c>
      <c r="C11" s="31">
        <v>1.2729999999999999</v>
      </c>
      <c r="D11" s="31">
        <v>1.5960000000000001</v>
      </c>
      <c r="E11" s="31">
        <v>1.776</v>
      </c>
      <c r="F11" s="31">
        <v>1.8560000000000001</v>
      </c>
      <c r="G11" s="31">
        <v>1.722</v>
      </c>
      <c r="H11" s="31">
        <v>1.37</v>
      </c>
      <c r="I11" s="31">
        <v>1.2250000000000001</v>
      </c>
      <c r="J11" s="31">
        <v>1.105</v>
      </c>
      <c r="K11" s="32">
        <v>0.996</v>
      </c>
      <c r="L11" s="33" t="s">
        <v>39</v>
      </c>
      <c r="M11" s="31">
        <f>0.0484*0.979+0</f>
        <v>4.7383599999999998E-2</v>
      </c>
      <c r="N11" s="31">
        <f>0.0484*0.979+0.0053</f>
        <v>5.2683599999999997E-2</v>
      </c>
      <c r="O11" s="31">
        <f>0.0484*0.979+0.0429</f>
        <v>9.0283599999999992E-2</v>
      </c>
      <c r="P11" s="31">
        <f>0.0484*0.979+0.085</f>
        <v>0.13238359999999999</v>
      </c>
      <c r="Q11" s="31">
        <f>0.0484*0.979+0.1452</f>
        <v>0.19258359999999999</v>
      </c>
      <c r="R11" s="31">
        <f>0.0484*0.979+0.1965</f>
        <v>0.24388360000000001</v>
      </c>
      <c r="S11" s="31">
        <f>0.0484*0.979+0.5044</f>
        <v>0.55178359999999993</v>
      </c>
      <c r="T11" s="31">
        <f>0.0484*0.979+0.5839</f>
        <v>0.63128359999999994</v>
      </c>
      <c r="U11" s="34">
        <f>0.0484*0.979+0.6677</f>
        <v>0.71508359999999993</v>
      </c>
      <c r="V11" s="34">
        <f>0.0484*0.979+0.753</f>
        <v>0.80038359999999997</v>
      </c>
    </row>
    <row r="12" spans="1:22" ht="15" customHeight="1" x14ac:dyDescent="0.25">
      <c r="A12" s="30" t="s">
        <v>40</v>
      </c>
      <c r="B12" s="31">
        <v>0.93600000000000005</v>
      </c>
      <c r="C12" s="31">
        <v>1.371</v>
      </c>
      <c r="D12" s="31">
        <v>1.6739999999999999</v>
      </c>
      <c r="E12" s="31">
        <v>1.8140000000000001</v>
      </c>
      <c r="F12" s="31">
        <v>1.881</v>
      </c>
      <c r="G12" s="31">
        <v>1.7490000000000001</v>
      </c>
      <c r="H12" s="31">
        <v>1.385</v>
      </c>
      <c r="I12" s="31">
        <v>1.2370000000000001</v>
      </c>
      <c r="J12" s="31">
        <v>1.1140000000000001</v>
      </c>
      <c r="K12" s="32">
        <v>1.0029999999999999</v>
      </c>
      <c r="L12" s="33" t="s">
        <v>40</v>
      </c>
      <c r="M12" s="31">
        <f>0.0719*0.979+0.0022</f>
        <v>7.2590100000000005E-2</v>
      </c>
      <c r="N12" s="31">
        <f>0.0719*0.979+0</f>
        <v>7.0390100000000011E-2</v>
      </c>
      <c r="O12" s="31">
        <f>0.0719*0.979+0.0323</f>
        <v>0.10269010000000001</v>
      </c>
      <c r="P12" s="31">
        <f>0.0719*0.979+0.0706</f>
        <v>0.14099010000000001</v>
      </c>
      <c r="Q12" s="31">
        <f>0.0719*0.979+0.1492</f>
        <v>0.21959010000000001</v>
      </c>
      <c r="R12" s="31">
        <f>0.0719*0.979+0.2253</f>
        <v>0.29569010000000001</v>
      </c>
      <c r="S12" s="31">
        <f>0.0719*0.979+0.4973</f>
        <v>0.56769010000000009</v>
      </c>
      <c r="T12" s="31">
        <f>0.0719*0.979+0.5759</f>
        <v>0.64629009999999998</v>
      </c>
      <c r="U12" s="34">
        <f>0.0719*0.979+0.6587</f>
        <v>0.72909009999999996</v>
      </c>
      <c r="V12" s="34">
        <f>0.0719*0.979+0.7428</f>
        <v>0.81319010000000003</v>
      </c>
    </row>
    <row r="13" spans="1:22" ht="15" customHeight="1" x14ac:dyDescent="0.25">
      <c r="A13" s="30" t="s">
        <v>41</v>
      </c>
      <c r="B13" s="31">
        <v>1.032</v>
      </c>
      <c r="C13" s="31">
        <v>1.462</v>
      </c>
      <c r="D13" s="31">
        <v>1.748</v>
      </c>
      <c r="E13" s="31">
        <v>1.8540000000000001</v>
      </c>
      <c r="F13" s="31">
        <v>1.9039999999999999</v>
      </c>
      <c r="G13" s="31">
        <v>1.772</v>
      </c>
      <c r="H13" s="31">
        <v>1.3979999999999999</v>
      </c>
      <c r="I13" s="31">
        <v>1.2470000000000001</v>
      </c>
      <c r="J13" s="31">
        <v>1.1220000000000001</v>
      </c>
      <c r="K13" s="32">
        <v>1.01</v>
      </c>
      <c r="L13" s="33" t="s">
        <v>41</v>
      </c>
      <c r="M13" s="31">
        <f>0.0671*0.979+0.001</f>
        <v>6.6690900000000011E-2</v>
      </c>
      <c r="N13" s="31">
        <f>0.0671*0.979+0</f>
        <v>6.569090000000001E-2</v>
      </c>
      <c r="O13" s="31">
        <f>0.0671*0.979+0.0297</f>
        <v>9.5390900000000015E-2</v>
      </c>
      <c r="P13" s="31">
        <f>0.0671*0.979+0.0677</f>
        <v>0.13339090000000001</v>
      </c>
      <c r="Q13" s="31">
        <f>0.0671*0.979+0.1448</f>
        <v>0.21049090000000004</v>
      </c>
      <c r="R13" s="31">
        <f>0.0671*0.979+0.2116</f>
        <v>0.27729090000000001</v>
      </c>
      <c r="S13" s="31">
        <f>0.0671*0.979+0.5182</f>
        <v>0.58389089999999999</v>
      </c>
      <c r="T13" s="31">
        <f>0.0671*0.979+0.596</f>
        <v>0.66169089999999997</v>
      </c>
      <c r="U13" s="34">
        <f>0.0671*0.979+0.6778</f>
        <v>0.74349089999999995</v>
      </c>
      <c r="V13" s="34">
        <f>0.0671*0.979+0.7608</f>
        <v>0.82649090000000003</v>
      </c>
    </row>
    <row r="14" spans="1:22" ht="15" customHeight="1" x14ac:dyDescent="0.25">
      <c r="A14" s="30" t="s">
        <v>42</v>
      </c>
      <c r="B14" s="31">
        <v>1.129</v>
      </c>
      <c r="C14" s="31">
        <v>1.554</v>
      </c>
      <c r="D14" s="31">
        <v>1.821</v>
      </c>
      <c r="E14" s="31">
        <v>1.8939999999999999</v>
      </c>
      <c r="F14" s="31">
        <v>1.927</v>
      </c>
      <c r="G14" s="31">
        <v>1.796</v>
      </c>
      <c r="H14" s="31">
        <v>1.4119999999999999</v>
      </c>
      <c r="I14" s="31">
        <v>1.2569999999999999</v>
      </c>
      <c r="J14" s="31">
        <v>1.1299999999999999</v>
      </c>
      <c r="K14" s="32">
        <v>1.016</v>
      </c>
      <c r="L14" s="33" t="s">
        <v>42</v>
      </c>
      <c r="M14" s="31">
        <f>0.0622*0.979+0</f>
        <v>6.0893799999999998E-2</v>
      </c>
      <c r="N14" s="31">
        <f>0.0622*0.979+0.0001</f>
        <v>6.0993800000000001E-2</v>
      </c>
      <c r="O14" s="31">
        <f>0.0622*0.979+0.0272</f>
        <v>8.80938E-2</v>
      </c>
      <c r="P14" s="31">
        <f>0.0622*0.979+0.0649</f>
        <v>0.12579380000000001</v>
      </c>
      <c r="Q14" s="31">
        <f>0.0622*0.979+0.1405</f>
        <v>0.20139380000000001</v>
      </c>
      <c r="R14" s="31">
        <f>0.0622*0.979+0.198</f>
        <v>0.25889380000000001</v>
      </c>
      <c r="S14" s="31">
        <f>0.0622*0.979+0.5393</f>
        <v>0.6001938</v>
      </c>
      <c r="T14" s="31">
        <f>0.0622*0.979+0.6162</f>
        <v>0.67709379999999997</v>
      </c>
      <c r="U14" s="34">
        <f>0.0622*0.979+0.697</f>
        <v>0.75789379999999995</v>
      </c>
      <c r="V14" s="34">
        <f>0.0622*0.979+0.7789</f>
        <v>0.83979380000000003</v>
      </c>
    </row>
    <row r="15" spans="1:22" ht="15" customHeight="1" x14ac:dyDescent="0.25">
      <c r="A15" s="30" t="s">
        <v>43</v>
      </c>
      <c r="B15" s="31">
        <v>1.218</v>
      </c>
      <c r="C15" s="31">
        <v>1.631</v>
      </c>
      <c r="D15" s="31">
        <v>1.887</v>
      </c>
      <c r="E15" s="31">
        <v>1.946</v>
      </c>
      <c r="F15" s="31">
        <v>1.9490000000000001</v>
      </c>
      <c r="G15" s="31">
        <v>1.821</v>
      </c>
      <c r="H15" s="31">
        <v>1.4339999999999999</v>
      </c>
      <c r="I15" s="31">
        <v>1.274</v>
      </c>
      <c r="J15" s="31">
        <v>1.143</v>
      </c>
      <c r="K15" s="32">
        <v>1.026</v>
      </c>
      <c r="L15" s="33" t="s">
        <v>43</v>
      </c>
      <c r="M15" s="31">
        <f>0.0562*0.979+0</f>
        <v>5.5019800000000001E-2</v>
      </c>
      <c r="N15" s="31">
        <f>0.0562*0.979+0.0007</f>
        <v>5.57198E-2</v>
      </c>
      <c r="O15" s="31">
        <f>0.0562*0.979+0.026</f>
        <v>8.1019800000000003E-2</v>
      </c>
      <c r="P15" s="31">
        <f>0.0562*0.979+0.0667</f>
        <v>0.12171979999999999</v>
      </c>
      <c r="Q15" s="31">
        <f>0.0562*0.979+0.1401</f>
        <v>0.19511980000000001</v>
      </c>
      <c r="R15" s="31">
        <f>0.0562*0.979+0.3371</f>
        <v>0.39211980000000002</v>
      </c>
      <c r="S15" s="31">
        <f>0.0562*0.979+0.5292</f>
        <v>0.58421979999999996</v>
      </c>
      <c r="T15" s="31">
        <f>0.0562*0.979+0.6069</f>
        <v>0.66191979999999995</v>
      </c>
      <c r="U15" s="34">
        <f>0.0562*0.979+0.6887</f>
        <v>0.74371979999999993</v>
      </c>
      <c r="V15" s="34">
        <f>0.0562*0.979+0.7717</f>
        <v>0.8267198</v>
      </c>
    </row>
    <row r="16" spans="1:22" ht="15" customHeight="1" x14ac:dyDescent="0.25">
      <c r="A16" s="30" t="s">
        <v>44</v>
      </c>
      <c r="B16" s="31">
        <v>1.3069999999999999</v>
      </c>
      <c r="C16" s="31">
        <v>1.7090000000000001</v>
      </c>
      <c r="D16" s="31">
        <v>1.954</v>
      </c>
      <c r="E16" s="31">
        <v>1.9970000000000001</v>
      </c>
      <c r="F16" s="31">
        <v>1.9710000000000001</v>
      </c>
      <c r="G16" s="31">
        <v>1.8460000000000001</v>
      </c>
      <c r="H16" s="31">
        <v>1.456</v>
      </c>
      <c r="I16" s="31">
        <v>1.292</v>
      </c>
      <c r="J16" s="31">
        <v>1.157</v>
      </c>
      <c r="K16" s="32">
        <v>1.036</v>
      </c>
      <c r="L16" s="33" t="s">
        <v>44</v>
      </c>
      <c r="M16" s="31">
        <f>0.0503*0.979+0</f>
        <v>4.9243699999999994E-2</v>
      </c>
      <c r="N16" s="31">
        <f>0.0503*0.979+0.0013</f>
        <v>5.0543699999999997E-2</v>
      </c>
      <c r="O16" s="31">
        <f>0.0503*0.979+0.0248</f>
        <v>7.404369999999999E-2</v>
      </c>
      <c r="P16" s="31">
        <f>0.0503*0.979+0.0684</f>
        <v>0.11764369999999999</v>
      </c>
      <c r="Q16" s="31">
        <f>0.0503*0.979+0.1397</f>
        <v>0.18894369999999999</v>
      </c>
      <c r="R16" s="31">
        <f>0.0503*0.979+0.4763</f>
        <v>0.52554369999999995</v>
      </c>
      <c r="S16" s="31">
        <f>0.0503*0.979+0.5191</f>
        <v>0.56834370000000001</v>
      </c>
      <c r="T16" s="31">
        <f>0.0503*0.979+0.5977</f>
        <v>0.64694370000000001</v>
      </c>
      <c r="U16" s="34">
        <f>0.0503*0.979+0.6805</f>
        <v>0.7297437</v>
      </c>
      <c r="V16" s="34">
        <f>0.0503*0.979+0.7646</f>
        <v>0.81384369999999995</v>
      </c>
    </row>
    <row r="17" spans="1:22" ht="15" customHeight="1" x14ac:dyDescent="0.25">
      <c r="A17" s="30" t="s">
        <v>45</v>
      </c>
      <c r="B17" s="31">
        <v>1.38</v>
      </c>
      <c r="C17" s="31">
        <v>1.776</v>
      </c>
      <c r="D17" s="31">
        <v>2.0099999999999998</v>
      </c>
      <c r="E17" s="31">
        <v>2.044</v>
      </c>
      <c r="F17" s="31">
        <v>1.9930000000000001</v>
      </c>
      <c r="G17" s="31">
        <v>1.8580000000000001</v>
      </c>
      <c r="H17" s="31">
        <v>1.464</v>
      </c>
      <c r="I17" s="31">
        <v>1.2989999999999999</v>
      </c>
      <c r="J17" s="31">
        <v>1.1619999999999999</v>
      </c>
      <c r="K17" s="32">
        <v>1.04</v>
      </c>
      <c r="L17" s="33" t="s">
        <v>45</v>
      </c>
      <c r="M17" s="31">
        <f>0.0443*0.979+0</f>
        <v>4.3369699999999997E-2</v>
      </c>
      <c r="N17" s="31">
        <f>0.0443*0.979+0.0024</f>
        <v>4.5769699999999996E-2</v>
      </c>
      <c r="O17" s="31">
        <f>0.0443*0.979+0.0244</f>
        <v>6.7769700000000002E-2</v>
      </c>
      <c r="P17" s="31">
        <f>0.0443*0.979+0.0721</f>
        <v>0.11546969999999999</v>
      </c>
      <c r="Q17" s="31">
        <f>0.0443*0.979+0.1428</f>
        <v>0.18616969999999999</v>
      </c>
      <c r="R17" s="31">
        <f>0.0443*0.979+0.5</f>
        <v>0.54336969999999996</v>
      </c>
      <c r="S17" s="31">
        <f>0.0443*0.979+0.5437</f>
        <v>0.58706969999999992</v>
      </c>
      <c r="T17" s="31">
        <f>0.0443*0.979+0.6213</f>
        <v>0.66466969999999992</v>
      </c>
      <c r="U17" s="34">
        <f>0.0443*0.979+0.7029</f>
        <v>0.74626969999999992</v>
      </c>
      <c r="V17" s="34">
        <f>0.0443*0.979+0.7857</f>
        <v>0.82906969999999991</v>
      </c>
    </row>
    <row r="18" spans="1:22" ht="15" customHeight="1" x14ac:dyDescent="0.25">
      <c r="A18" s="30" t="s">
        <v>46</v>
      </c>
      <c r="B18" s="31">
        <v>1.4530000000000001</v>
      </c>
      <c r="C18" s="31">
        <v>1.843</v>
      </c>
      <c r="D18" s="31">
        <v>2.0649999999999999</v>
      </c>
      <c r="E18" s="31">
        <v>2.09</v>
      </c>
      <c r="F18" s="31">
        <v>2.016</v>
      </c>
      <c r="G18" s="31">
        <v>1.869</v>
      </c>
      <c r="H18" s="31">
        <v>1.4730000000000001</v>
      </c>
      <c r="I18" s="31">
        <v>1.3049999999999999</v>
      </c>
      <c r="J18" s="31">
        <v>1.167</v>
      </c>
      <c r="K18" s="32">
        <v>1.044</v>
      </c>
      <c r="L18" s="33" t="s">
        <v>46</v>
      </c>
      <c r="M18" s="31">
        <f>0.0384*0.979+0</f>
        <v>3.7593599999999998E-2</v>
      </c>
      <c r="N18" s="31">
        <f>0.0384*0.979+0.0036</f>
        <v>4.1193599999999997E-2</v>
      </c>
      <c r="O18" s="31">
        <f>0.0384*0.979+0.0241</f>
        <v>6.1693600000000001E-2</v>
      </c>
      <c r="P18" s="31">
        <f>0.0384*0.979+0.0757</f>
        <v>0.11329359999999999</v>
      </c>
      <c r="Q18" s="31">
        <f>0.0384*0.979+0.146</f>
        <v>0.1835936</v>
      </c>
      <c r="R18" s="31">
        <f>0.0384*0.979+0.5238</f>
        <v>0.56139360000000005</v>
      </c>
      <c r="S18" s="31">
        <f>0.0384*0.979+0.5682</f>
        <v>0.60579360000000004</v>
      </c>
      <c r="T18" s="31">
        <f>0.0384*0.979+0.6448</f>
        <v>0.68239360000000004</v>
      </c>
      <c r="U18" s="34">
        <f>0.0384*0.979+0.7253</f>
        <v>0.76289359999999995</v>
      </c>
      <c r="V18" s="34">
        <f>0.0384*0.979+0.8069</f>
        <v>0.84449359999999996</v>
      </c>
    </row>
    <row r="19" spans="1:22" ht="15" customHeight="1" x14ac:dyDescent="0.25">
      <c r="A19" s="30" t="s">
        <v>47</v>
      </c>
      <c r="B19" s="31">
        <v>1.526</v>
      </c>
      <c r="C19" s="31">
        <v>1.91</v>
      </c>
      <c r="D19" s="31">
        <v>2.121</v>
      </c>
      <c r="E19" s="31">
        <v>2.137</v>
      </c>
      <c r="F19" s="31">
        <v>2.0379999999999998</v>
      </c>
      <c r="G19" s="31">
        <v>1.881</v>
      </c>
      <c r="H19" s="31">
        <v>1.4810000000000001</v>
      </c>
      <c r="I19" s="31">
        <v>1.3120000000000001</v>
      </c>
      <c r="J19" s="31">
        <v>1.1719999999999999</v>
      </c>
      <c r="K19" s="32">
        <v>1.048</v>
      </c>
      <c r="L19" s="33" t="s">
        <v>47</v>
      </c>
      <c r="M19" s="31">
        <f>0.0324*0.979+0</f>
        <v>3.1719600000000001E-2</v>
      </c>
      <c r="N19" s="31">
        <f>0.0324*0.979+0.0047</f>
        <v>3.6419600000000003E-2</v>
      </c>
      <c r="O19" s="31">
        <f>0.0324*0.979+0.0237</f>
        <v>5.5419599999999999E-2</v>
      </c>
      <c r="P19" s="31">
        <f>0.0324*0.979+0.0794</f>
        <v>0.1111196</v>
      </c>
      <c r="Q19" s="31">
        <f>0.0324*0.979+0.1491</f>
        <v>0.18081960000000002</v>
      </c>
      <c r="R19" s="31">
        <f>0.0324*0.979+0.5475</f>
        <v>0.57921959999999995</v>
      </c>
      <c r="S19" s="31">
        <f>0.0324*0.979+0.5928</f>
        <v>0.62451959999999995</v>
      </c>
      <c r="T19" s="31">
        <f>0.0324*0.979+0.6684</f>
        <v>0.70011959999999995</v>
      </c>
      <c r="U19" s="34">
        <f>0.0324*0.979+0.7477</f>
        <v>0.77941959999999999</v>
      </c>
      <c r="V19" s="34">
        <f>0.0324*0.979+0.828</f>
        <v>0.85971959999999992</v>
      </c>
    </row>
    <row r="22" spans="1:22" ht="15" customHeight="1" x14ac:dyDescent="0.25">
      <c r="A22" s="35"/>
    </row>
    <row r="23" spans="1:22" ht="15" customHeight="1" x14ac:dyDescent="0.25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</row>
    <row r="24" spans="1:22" ht="15" customHeight="1" x14ac:dyDescent="0.25">
      <c r="A24" s="37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</row>
    <row r="25" spans="1:22" ht="15" customHeight="1" x14ac:dyDescent="0.25">
      <c r="A25" s="37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</row>
    <row r="26" spans="1:22" ht="15" customHeight="1" x14ac:dyDescent="0.25">
      <c r="A26" s="37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</row>
    <row r="27" spans="1:22" ht="15" customHeight="1" x14ac:dyDescent="0.25">
      <c r="A27" s="37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</row>
    <row r="28" spans="1:22" ht="15" customHeight="1" x14ac:dyDescent="0.25">
      <c r="A28" s="37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</row>
    <row r="29" spans="1:22" ht="15" customHeight="1" x14ac:dyDescent="0.25">
      <c r="A29" s="37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</row>
    <row r="30" spans="1:22" ht="15" customHeight="1" x14ac:dyDescent="0.25">
      <c r="A30" s="37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</row>
    <row r="31" spans="1:22" ht="15" customHeight="1" x14ac:dyDescent="0.25">
      <c r="A31" s="37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</row>
    <row r="32" spans="1:22" ht="15" customHeight="1" x14ac:dyDescent="0.25">
      <c r="A32" s="37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</row>
    <row r="33" spans="1:16" ht="15" customHeight="1" x14ac:dyDescent="0.25">
      <c r="A33" s="37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</row>
    <row r="34" spans="1:16" ht="15" customHeight="1" x14ac:dyDescent="0.25">
      <c r="A34" s="37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</row>
    <row r="35" spans="1:16" ht="15" customHeight="1" x14ac:dyDescent="0.25">
      <c r="A35" s="37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</row>
    <row r="36" spans="1:16" ht="15" customHeight="1" x14ac:dyDescent="0.25">
      <c r="A36" s="37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</row>
    <row r="37" spans="1:16" ht="15" customHeight="1" x14ac:dyDescent="0.25">
      <c r="A37" s="37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</row>
    <row r="38" spans="1:16" ht="15" customHeight="1" x14ac:dyDescent="0.25">
      <c r="A38" s="37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</row>
    <row r="39" spans="1:16" ht="15" customHeight="1" x14ac:dyDescent="0.25">
      <c r="A39" s="37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</row>
    <row r="40" spans="1:16" ht="15" customHeight="1" x14ac:dyDescent="0.25">
      <c r="A40" s="37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</row>
    <row r="41" spans="1:16" ht="15" customHeight="1" x14ac:dyDescent="0.25">
      <c r="A41" s="37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</row>
    <row r="42" spans="1:16" ht="15" customHeight="1" x14ac:dyDescent="0.25">
      <c r="A42" s="37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</row>
    <row r="43" spans="1:16" ht="15" customHeight="1" x14ac:dyDescent="0.25">
      <c r="A43" s="37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</row>
    <row r="44" spans="1:16" ht="15" customHeight="1" x14ac:dyDescent="0.25">
      <c r="A44" s="37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</row>
    <row r="45" spans="1:16" ht="15" customHeight="1" x14ac:dyDescent="0.25">
      <c r="A45" s="37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</row>
    <row r="46" spans="1:16" ht="15" customHeight="1" x14ac:dyDescent="0.25">
      <c r="A46" s="37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</row>
    <row r="47" spans="1:16" ht="15" customHeight="1" x14ac:dyDescent="0.25">
      <c r="A47" s="37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</row>
    <row r="48" spans="1:16" ht="15" customHeight="1" x14ac:dyDescent="0.25">
      <c r="A48" s="37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</row>
    <row r="49" spans="1:16" ht="15" customHeight="1" x14ac:dyDescent="0.25">
      <c r="A49" s="37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</row>
    <row r="50" spans="1:16" ht="15" customHeight="1" x14ac:dyDescent="0.25">
      <c r="A50" s="37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</row>
    <row r="51" spans="1:16" ht="15" customHeight="1" x14ac:dyDescent="0.25">
      <c r="A51" s="37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</row>
    <row r="52" spans="1:16" ht="15" customHeight="1" x14ac:dyDescent="0.25">
      <c r="A52" s="37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</row>
    <row r="53" spans="1:16" ht="15" customHeight="1" x14ac:dyDescent="0.25">
      <c r="A53" s="37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</row>
    <row r="54" spans="1:16" ht="15" customHeight="1" x14ac:dyDescent="0.25">
      <c r="A54" s="37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</row>
    <row r="55" spans="1:16" ht="15" customHeight="1" x14ac:dyDescent="0.25">
      <c r="A55" s="37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</row>
    <row r="56" spans="1:16" ht="15" customHeight="1" x14ac:dyDescent="0.25">
      <c r="A56" s="37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</row>
    <row r="57" spans="1:16" ht="15" customHeight="1" x14ac:dyDescent="0.25">
      <c r="A57" s="37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</row>
    <row r="58" spans="1:16" ht="15" customHeight="1" x14ac:dyDescent="0.25">
      <c r="A58" s="37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</row>
    <row r="59" spans="1:16" ht="15" customHeight="1" x14ac:dyDescent="0.25">
      <c r="A59" s="37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</row>
    <row r="60" spans="1:16" ht="15" customHeight="1" x14ac:dyDescent="0.25">
      <c r="A60" s="37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</row>
    <row r="61" spans="1:16" ht="15" customHeight="1" x14ac:dyDescent="0.25">
      <c r="A61" s="37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</row>
    <row r="62" spans="1:16" ht="15" customHeight="1" x14ac:dyDescent="0.25">
      <c r="A62" s="37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</row>
    <row r="63" spans="1:16" ht="15" customHeight="1" x14ac:dyDescent="0.25">
      <c r="A63" s="37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</row>
    <row r="64" spans="1:16" ht="15" customHeight="1" x14ac:dyDescent="0.25">
      <c r="A64" s="37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</row>
    <row r="65" spans="1:16" ht="15" customHeight="1" x14ac:dyDescent="0.25">
      <c r="A65" s="37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</row>
    <row r="66" spans="1:16" ht="15" customHeight="1" x14ac:dyDescent="0.25">
      <c r="A66" s="37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</row>
    <row r="67" spans="1:16" ht="15" customHeight="1" x14ac:dyDescent="0.25">
      <c r="A67" s="37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</row>
    <row r="68" spans="1:16" ht="15" customHeight="1" x14ac:dyDescent="0.25">
      <c r="A68" s="37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</row>
    <row r="69" spans="1:16" ht="15" customHeight="1" x14ac:dyDescent="0.25">
      <c r="A69" s="37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</row>
  </sheetData>
  <conditionalFormatting sqref="B4:K19">
    <cfRule type="colorScale" priority="2">
      <colorScale>
        <cfvo type="min"/>
        <cfvo type="percentile" val="50"/>
        <cfvo type="max"/>
        <color rgb="FFEBF5FB"/>
        <color rgb="FF2980B9"/>
        <color rgb="FF1A5276"/>
      </colorScale>
    </cfRule>
  </conditionalFormatting>
  <conditionalFormatting sqref="M4:V19">
    <cfRule type="colorScale" priority="3">
      <colorScale>
        <cfvo type="min"/>
        <cfvo type="percentile" val="50"/>
        <cfvo type="max"/>
        <color rgb="FFE9F7EF"/>
        <color rgb="FFF39C12"/>
        <color rgb="FF922B21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Résumé</vt:lpstr>
      <vt:lpstr>AWS 5kt</vt:lpstr>
      <vt:lpstr>AWS 10kt</vt:lpstr>
      <vt:lpstr>AWS 15kt</vt:lpstr>
      <vt:lpstr>AWS 20kt</vt:lpstr>
      <vt:lpstr>AWS 25kt</vt:lpstr>
      <vt:lpstr>AWS 30kt</vt:lpstr>
      <vt:lpstr>AWS 35kt</vt:lpstr>
      <vt:lpstr>AWS 40kt</vt:lpstr>
      <vt:lpstr>AWS 45kt</vt:lpstr>
      <vt:lpstr>AWS 50kt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Absa LO</cp:lastModifiedBy>
  <cp:revision>6</cp:revision>
  <dcterms:created xsi:type="dcterms:W3CDTF">2026-06-19T07:23:24Z</dcterms:created>
  <dcterms:modified xsi:type="dcterms:W3CDTF">2026-07-09T07:23:13Z</dcterms:modified>
  <dc:language>en-US</dc:language>
</cp:coreProperties>
</file>