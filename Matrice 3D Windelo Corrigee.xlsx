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AWS 5kt" sheetId="2" state="visible" r:id="rId2"/>
    <sheet xmlns:r="http://schemas.openxmlformats.org/officeDocument/2006/relationships" name="AWS 10kt" sheetId="3" state="visible" r:id="rId3"/>
    <sheet xmlns:r="http://schemas.openxmlformats.org/officeDocument/2006/relationships" name="AWS 15kt" sheetId="4" state="visible" r:id="rId4"/>
    <sheet xmlns:r="http://schemas.openxmlformats.org/officeDocument/2006/relationships" name="AWS 20kt" sheetId="5" state="visible" r:id="rId5"/>
    <sheet xmlns:r="http://schemas.openxmlformats.org/officeDocument/2006/relationships" name="AWS 25kt" sheetId="6" state="visible" r:id="rId6"/>
    <sheet xmlns:r="http://schemas.openxmlformats.org/officeDocument/2006/relationships" name="AWS 30kt" sheetId="7" state="visible" r:id="rId7"/>
    <sheet xmlns:r="http://schemas.openxmlformats.org/officeDocument/2006/relationships" name="AWS 35kt" sheetId="8" state="visible" r:id="rId8"/>
    <sheet xmlns:r="http://schemas.openxmlformats.org/officeDocument/2006/relationships" name="AWS 40kt" sheetId="9" state="visible" r:id="rId9"/>
    <sheet xmlns:r="http://schemas.openxmlformats.org/officeDocument/2006/relationships" name="AWS 45kt" sheetId="10" state="visible" r:id="rId10"/>
    <sheet xmlns:r="http://schemas.openxmlformats.org/officeDocument/2006/relationships" name="AWS 50kt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b val="1"/>
      <color rgb="FF212529"/>
      <sz val="9"/>
    </font>
    <font>
      <name val="Calibri"/>
      <charset val="1"/>
      <family val="0"/>
      <color rgb="FF21252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color rgb="FF212529"/>
      <sz val="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2F5496"/>
        <bgColor rgb="FF1F4E79"/>
      </patternFill>
    </fill>
    <fill>
      <patternFill patternType="solid">
        <fgColor rgb="FF4472C4"/>
        <bgColor rgb="FF607D8B"/>
      </patternFill>
    </fill>
    <fill>
      <patternFill patternType="solid">
        <fgColor rgb="FF1A5276"/>
        <bgColor rgb="FF1F4E79"/>
      </patternFill>
    </fill>
    <fill>
      <patternFill patternType="solid">
        <fgColor rgb="FF922B21"/>
        <bgColor rgb="FF800000"/>
      </patternFill>
    </fill>
    <fill>
      <patternFill patternType="solid">
        <fgColor rgb="FFF5F5F5"/>
        <bgColor rgb="FFF2F2F2"/>
      </patternFill>
    </fill>
    <fill>
      <patternFill patternType="solid">
        <fgColor rgb="FFEEEEEE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general" vertical="bottom"/>
    </xf>
    <xf numFmtId="165" fontId="10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general" vertical="bottom"/>
    </xf>
    <xf numFmtId="165" fontId="10" fillId="9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E91E63"/>
      <rgbColor rgb="FF00FF00"/>
      <rgbColor rgb="FF0000FF"/>
      <rgbColor rgb="FFCDDC39"/>
      <rgbColor rgb="FFFF00FF"/>
      <rgbColor rgb="FF00FFFF"/>
      <rgbColor rgb="FF800000"/>
      <rgbColor rgb="FF008000"/>
      <rgbColor rgb="FF000080"/>
      <rgbColor rgb="FFF44336"/>
      <rgbColor rgb="FF800080"/>
      <rgbColor rgb="FF009688"/>
      <rgbColor rgb="FFCCCCCC"/>
      <rgbColor rgb="FF878787"/>
      <rgbColor rgb="FF9999FF"/>
      <rgbColor rgb="FF9C27B0"/>
      <rgbColor rgb="FFF5F5F5"/>
      <rgbColor rgb="FFEEEEEE"/>
      <rgbColor rgb="FF660066"/>
      <rgbColor rgb="FFFF5722"/>
      <rgbColor rgb="FF1A5276"/>
      <rgbColor rgb="FFD9D9D9"/>
      <rgbColor rgb="FF000080"/>
      <rgbColor rgb="FFFF00FF"/>
      <rgbColor rgb="FFFFFF00"/>
      <rgbColor rgb="FF00FFFF"/>
      <rgbColor rgb="FF800080"/>
      <rgbColor rgb="FF800000"/>
      <rgbColor rgb="FF1F4E79"/>
      <rgbColor rgb="FF0000FF"/>
      <rgbColor rgb="FF00BCD4"/>
      <rgbColor rgb="FFF2F2F2"/>
      <rgbColor rgb="FFCCFFCC"/>
      <rgbColor rgb="FFFFFF99"/>
      <rgbColor rgb="FF99CCFF"/>
      <rgbColor rgb="FFFF99CC"/>
      <rgbColor rgb="FFCC99FF"/>
      <rgbColor rgb="FFFFCC99"/>
      <rgbColor rgb="FF4472C4"/>
      <rgbColor rgb="FF2196F3"/>
      <rgbColor rgb="FF8BC34A"/>
      <rgbColor rgb="FFFFC107"/>
      <rgbColor rgb="FFFF9800"/>
      <rgbColor rgb="FFFF6F00"/>
      <rgbColor rgb="FF607D8B"/>
      <rgbColor rgb="FF969696"/>
      <rgbColor rgb="FF1F3864"/>
      <rgbColor rgb="FF4CAF50"/>
      <rgbColor rgb="FF003300"/>
      <rgbColor rgb="FF333300"/>
      <rgbColor rgb="FF922B21"/>
      <rgbColor rgb="FF795548"/>
      <rgbColor rgb="FF2F5496"/>
      <rgbColor rgb="FF21252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AWS=5kt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5kt'!B23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5kt'!C23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5kt'!D23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5kt'!E23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5kt'!F23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5kt'!G23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5kt'!H23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5kt'!I23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5kt'!J23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5kt'!K23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5kt'!L23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5kt'!M23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5kt'!N23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5kt'!O23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5kt'!P23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5kt'!Q23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4066167"/>
        <axId val="75277513"/>
      </lineChart>
      <catAx>
        <axId val="1406616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5277513"/>
        <crosses val="autoZero"/>
        <auto val="1"/>
        <lblAlgn val="ctr"/>
        <lblOffset val="100"/>
        <noMultiLvlLbl val="0"/>
      </catAx>
      <valAx>
        <axId val="7527751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06616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AWS=10kt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10kt'!B23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10kt'!C23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10kt'!D23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10kt'!E23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10kt'!F23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10kt'!G23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10kt'!H23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10kt'!I23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10kt'!J23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10kt'!K23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10kt'!L23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10kt'!M23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10kt'!N23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10kt'!O23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10kt'!P23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10kt'!Q23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10kt'!$Q$24:$Q$69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6549061"/>
        <axId val="97730951"/>
      </lineChart>
      <catAx>
        <axId val="6654906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730951"/>
        <crosses val="autoZero"/>
        <auto val="1"/>
        <lblAlgn val="ctr"/>
        <lblOffset val="100"/>
        <noMultiLvlLbl val="0"/>
      </catAx>
      <valAx>
        <axId val="977309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654906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AWS=15kt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15kt'!B23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15kt'!C23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15kt'!D23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15kt'!E23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15kt'!F23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15kt'!G23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15kt'!H23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15kt'!I23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15kt'!J23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15kt'!K23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15kt'!L23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15kt'!M23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15kt'!N23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15kt'!O23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15kt'!P23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15kt'!Q23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15kt'!$A$24:$A$69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15kt'!$Q$24:$Q$69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6650939"/>
        <axId val="28913964"/>
      </lineChart>
      <catAx>
        <axId val="1665093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8913964"/>
        <crosses val="autoZero"/>
        <auto val="1"/>
        <lblAlgn val="ctr"/>
        <lblOffset val="100"/>
        <noMultiLvlLbl val="0"/>
      </catAx>
      <valAx>
        <axId val="2891396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65093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AWS=20kt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20kt'!B23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20kt'!C23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20kt'!D23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20kt'!E23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20kt'!F23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20kt'!G23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20kt'!H23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20kt'!I23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20kt'!J23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20kt'!K23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20kt'!L23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20kt'!M23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20kt'!N23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20kt'!O23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20kt'!P23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20kt'!Q23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20kt'!$Q$24:$Q$69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408150"/>
        <axId val="13371188"/>
      </lineChart>
      <catAx>
        <axId val="6940815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371188"/>
        <crosses val="autoZero"/>
        <auto val="1"/>
        <lblAlgn val="ctr"/>
        <lblOffset val="100"/>
        <noMultiLvlLbl val="0"/>
      </catAx>
      <valAx>
        <axId val="1337118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40815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AWS=25kt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25kt'!B23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25kt'!C23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25kt'!D23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25kt'!E23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25kt'!F23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25kt'!G23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25kt'!H23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25kt'!I23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25kt'!J23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25kt'!K23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25kt'!L23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25kt'!M23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25kt'!N23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25kt'!O23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25kt'!P23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25kt'!Q23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25kt'!$A$24:$A$69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25kt'!$Q$24:$Q$69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6003870"/>
        <axId val="93277316"/>
      </lineChart>
      <catAx>
        <axId val="2600387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3277316"/>
        <crosses val="autoZero"/>
        <auto val="1"/>
        <lblAlgn val="ctr"/>
        <lblOffset val="100"/>
        <noMultiLvlLbl val="0"/>
      </catAx>
      <valAx>
        <axId val="9327731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600387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AWS=30kt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30kt'!B23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30kt'!C23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30kt'!D23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30kt'!E23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30kt'!F23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30kt'!G23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30kt'!H23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30kt'!I23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30kt'!J23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30kt'!K23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30kt'!L23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30kt'!M23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30kt'!N23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30kt'!O23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30kt'!P23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30kt'!Q23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30kt'!$Q$24:$Q$69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4970377"/>
        <axId val="61939784"/>
      </lineChart>
      <catAx>
        <axId val="6497037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1939784"/>
        <crosses val="autoZero"/>
        <auto val="1"/>
        <lblAlgn val="ctr"/>
        <lblOffset val="100"/>
        <noMultiLvlLbl val="0"/>
      </catAx>
      <valAx>
        <axId val="6193978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497037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AWS=35kt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35kt'!B23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35kt'!C23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35kt'!D23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35kt'!E23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35kt'!F23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35kt'!G23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35kt'!H23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35kt'!I23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35kt'!J23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35kt'!K23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35kt'!L23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35kt'!M23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35kt'!N23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35kt'!O23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35kt'!P23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35kt'!Q23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35kt'!$A$24:$A$69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35kt'!$Q$24:$Q$69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3990495"/>
        <axId val="72829332"/>
      </lineChart>
      <catAx>
        <axId val="4399049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2829332"/>
        <crosses val="autoZero"/>
        <auto val="1"/>
        <lblAlgn val="ctr"/>
        <lblOffset val="100"/>
        <noMultiLvlLbl val="0"/>
      </catAx>
      <valAx>
        <axId val="7282933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399049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AWS=40kt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40kt'!B23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40kt'!C23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40kt'!D23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40kt'!E23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40kt'!F23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40kt'!G23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40kt'!H23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40kt'!I23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40kt'!J23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40kt'!K23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40kt'!L23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40kt'!M23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40kt'!N23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40kt'!O23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40kt'!P23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40kt'!Q23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40kt'!$Q$24:$Q$69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52170798"/>
        <axId val="37828439"/>
      </lineChart>
      <catAx>
        <axId val="5217079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7828439"/>
        <crosses val="autoZero"/>
        <auto val="1"/>
        <lblAlgn val="ctr"/>
        <lblOffset val="100"/>
        <noMultiLvlLbl val="0"/>
      </catAx>
      <valAx>
        <axId val="3782843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217079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AWS=45kt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45kt'!B23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45kt'!C23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45kt'!D23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45kt'!E23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45kt'!F23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45kt'!G23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45kt'!H23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45kt'!I23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45kt'!J23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45kt'!K23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45kt'!L23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45kt'!M23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45kt'!N23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45kt'!O23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45kt'!P23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45kt'!Q23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45kt'!$A$24:$A$69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45kt'!$Q$24:$Q$69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9229604"/>
        <axId val="3722055"/>
      </lineChart>
      <catAx>
        <axId val="1922960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722055"/>
        <crosses val="autoZero"/>
        <auto val="1"/>
        <lblAlgn val="ctr"/>
        <lblOffset val="100"/>
        <noMultiLvlLbl val="0"/>
      </catAx>
      <valAx>
        <axId val="372205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22960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AWS=50kt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'AWS 50kt'!B23</f>
              <strCache>
                <ptCount val="1"/>
                <pt idx="0">
                  <v>0%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1512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50kt'!$B$24:$B$69</f>
              <numCache>
                <formatCode>0.0000</formatCode>
                <ptCount val="46"/>
                <pt idx="0">
                  <v>0</v>
                </pt>
                <pt idx="1">
                  <v>0.1238</v>
                </pt>
                <pt idx="2">
                  <v>0.2475</v>
                </pt>
                <pt idx="3">
                  <v>0.3713</v>
                </pt>
                <pt idx="4">
                  <v>0.495</v>
                </pt>
                <pt idx="5">
                  <v>0.6188</v>
                </pt>
                <pt idx="6">
                  <v>0.7425</v>
                </pt>
                <pt idx="7">
                  <v>0.8663</v>
                </pt>
                <pt idx="8">
                  <v>0.99</v>
                </pt>
                <pt idx="9">
                  <v>1.1138</v>
                </pt>
                <pt idx="10">
                  <v>1.2375</v>
                </pt>
                <pt idx="11">
                  <v>1.3613</v>
                </pt>
                <pt idx="12">
                  <v>1.485</v>
                </pt>
                <pt idx="13">
                  <v>1.6088</v>
                </pt>
                <pt idx="14">
                  <v>1.7325</v>
                </pt>
                <pt idx="15">
                  <v>1.8563</v>
                </pt>
                <pt idx="16">
                  <v>1.98</v>
                </pt>
                <pt idx="17">
                  <v>2.1038</v>
                </pt>
                <pt idx="18">
                  <v>2.2275</v>
                </pt>
                <pt idx="19">
                  <v>1.0028</v>
                </pt>
                <pt idx="20">
                  <v>0.8939</v>
                </pt>
                <pt idx="21">
                  <v>0.7893</v>
                </pt>
                <pt idx="22">
                  <v>0.6906</v>
                </pt>
                <pt idx="23">
                  <v>0.5991</v>
                </pt>
                <pt idx="24">
                  <v>0.5155999999999999</v>
                </pt>
                <pt idx="25">
                  <v>0.4406</v>
                </pt>
                <pt idx="26">
                  <v>0.3742</v>
                </pt>
                <pt idx="27">
                  <v>0.316</v>
                </pt>
                <pt idx="28">
                  <v>0.2655</v>
                </pt>
                <pt idx="29">
                  <v>0.2222</v>
                </pt>
                <pt idx="30">
                  <v>0.1853</v>
                </pt>
                <pt idx="31">
                  <v>0.154</v>
                </pt>
                <pt idx="32">
                  <v>0.1277</v>
                </pt>
                <pt idx="33">
                  <v>0.1056</v>
                </pt>
                <pt idx="34">
                  <v>0.0872</v>
                </pt>
                <pt idx="35">
                  <v>0.07190000000000001</v>
                </pt>
                <pt idx="36">
                  <v>0.1484</v>
                </pt>
                <pt idx="37">
                  <v>0.2312</v>
                </pt>
                <pt idx="38">
                  <v>0.3191</v>
                </pt>
                <pt idx="39">
                  <v>0.411</v>
                </pt>
                <pt idx="40">
                  <v>0.5059</v>
                </pt>
                <pt idx="41">
                  <v>0.603</v>
                </pt>
                <pt idx="42">
                  <v>0.7016</v>
                </pt>
                <pt idx="43">
                  <v>0.801</v>
                </pt>
                <pt idx="44">
                  <v>0.9006999999999999</v>
                </pt>
                <pt idx="45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'AWS 50kt'!C23</f>
              <strCache>
                <ptCount val="1"/>
                <pt idx="0">
                  <v>1%</v>
                </pt>
              </strCache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 w="15120">
              <a:solidFill>
                <a:srgbClr val="2196f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50kt'!$C$24:$C$69</f>
              <numCache>
                <formatCode>0.0000</formatCode>
                <ptCount val="46"/>
                <pt idx="0">
                  <v>0.1285</v>
                </pt>
                <pt idx="1">
                  <v>0.2523</v>
                </pt>
                <pt idx="2">
                  <v>0.376</v>
                </pt>
                <pt idx="3">
                  <v>0.4998</v>
                </pt>
                <pt idx="4">
                  <v>0.6235000000000001</v>
                </pt>
                <pt idx="5">
                  <v>0.7473</v>
                </pt>
                <pt idx="6">
                  <v>0.871</v>
                </pt>
                <pt idx="7">
                  <v>0.9948</v>
                </pt>
                <pt idx="8">
                  <v>1.1185</v>
                </pt>
                <pt idx="9">
                  <v>1.2423</v>
                </pt>
                <pt idx="10">
                  <v>1.366</v>
                </pt>
                <pt idx="11">
                  <v>1.4898</v>
                </pt>
                <pt idx="12">
                  <v>1.6136</v>
                </pt>
                <pt idx="13">
                  <v>1.7373</v>
                </pt>
                <pt idx="14">
                  <v>1.8611</v>
                </pt>
                <pt idx="15">
                  <v>1.9848</v>
                </pt>
                <pt idx="16">
                  <v>2.1086</v>
                </pt>
                <pt idx="17">
                  <v>1.1095</v>
                </pt>
                <pt idx="18">
                  <v>0.9985000000000001</v>
                </pt>
                <pt idx="19">
                  <v>0.8898</v>
                </pt>
                <pt idx="20">
                  <v>0.7854</v>
                </pt>
                <pt idx="21">
                  <v>0.6869</v>
                </pt>
                <pt idx="22">
                  <v>0.5957</v>
                </pt>
                <pt idx="23">
                  <v>0.5125999999999999</v>
                </pt>
                <pt idx="24">
                  <v>0.4379</v>
                </pt>
                <pt idx="25">
                  <v>0.3718</v>
                </pt>
                <pt idx="26">
                  <v>0.3139</v>
                </pt>
                <pt idx="27">
                  <v>0.2637</v>
                </pt>
                <pt idx="28">
                  <v>0.2207</v>
                </pt>
                <pt idx="29">
                  <v>0.184</v>
                </pt>
                <pt idx="30">
                  <v>0.1529</v>
                </pt>
                <pt idx="31">
                  <v>0.1268</v>
                </pt>
                <pt idx="32">
                  <v>0.1049</v>
                </pt>
                <pt idx="33">
                  <v>0.0866</v>
                </pt>
                <pt idx="34">
                  <v>0.07140000000000001</v>
                </pt>
                <pt idx="35">
                  <v>0.0588</v>
                </pt>
                <pt idx="36">
                  <v>0.1386</v>
                </pt>
                <pt idx="37">
                  <v>0.2241</v>
                </pt>
                <pt idx="38">
                  <v>0.314</v>
                </pt>
                <pt idx="39">
                  <v>0.4073</v>
                </pt>
                <pt idx="40">
                  <v>0.5034</v>
                </pt>
                <pt idx="41">
                  <v>0.6014</v>
                </pt>
                <pt idx="42">
                  <v>0.7006</v>
                </pt>
                <pt idx="43">
                  <v>0.8005</v>
                </pt>
                <pt idx="44">
                  <v>0.9004</v>
                </pt>
                <pt idx="45">
                  <v>1</v>
                </pt>
              </numCache>
            </numRef>
          </val>
          <smooth val="1"/>
        </ser>
        <ser>
          <idx val="2"/>
          <order val="2"/>
          <tx>
            <strRef>
              <f>'AWS 50kt'!D23</f>
              <strCache>
                <ptCount val="1"/>
                <pt idx="0">
                  <v>2%</v>
                </pt>
              </strCache>
            </strRef>
          </tx>
          <spPr>
            <a:solidFill xmlns:a="http://schemas.openxmlformats.org/drawingml/2006/main">
              <a:srgbClr val="00bcd4"/>
            </a:solidFill>
            <a:ln xmlns:a="http://schemas.openxmlformats.org/drawingml/2006/main" w="15120">
              <a:solidFill>
                <a:srgbClr val="00bcd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50kt'!$D$24:$D$69</f>
              <numCache>
                <formatCode>0.0000</formatCode>
                <ptCount val="46"/>
                <pt idx="0">
                  <v>0.2571</v>
                </pt>
                <pt idx="1">
                  <v>0.3808</v>
                </pt>
                <pt idx="2">
                  <v>0.5046</v>
                </pt>
                <pt idx="3">
                  <v>0.6283</v>
                </pt>
                <pt idx="4">
                  <v>0.7521</v>
                </pt>
                <pt idx="5">
                  <v>0.8758</v>
                </pt>
                <pt idx="6">
                  <v>0.9996</v>
                </pt>
                <pt idx="7">
                  <v>1.1233</v>
                </pt>
                <pt idx="8">
                  <v>1.2471</v>
                </pt>
                <pt idx="9">
                  <v>1.3708</v>
                </pt>
                <pt idx="10">
                  <v>1.4946</v>
                </pt>
                <pt idx="11">
                  <v>1.6183</v>
                </pt>
                <pt idx="12">
                  <v>1.7421</v>
                </pt>
                <pt idx="13">
                  <v>1.8658</v>
                </pt>
                <pt idx="14">
                  <v>1.9896</v>
                </pt>
                <pt idx="15">
                  <v>2.1133</v>
                </pt>
                <pt idx="16">
                  <v>1.1052</v>
                </pt>
                <pt idx="17">
                  <v>0.9942</v>
                </pt>
                <pt idx="18">
                  <v>0.8857</v>
                </pt>
                <pt idx="19">
                  <v>0.7815</v>
                </pt>
                <pt idx="20">
                  <v>0.6833</v>
                </pt>
                <pt idx="21">
                  <v>0.5923</v>
                </pt>
                <pt idx="22">
                  <v>0.5095</v>
                </pt>
                <pt idx="23">
                  <v>0.4352</v>
                </pt>
                <pt idx="24">
                  <v>0.3694</v>
                </pt>
                <pt idx="25">
                  <v>0.3118</v>
                </pt>
                <pt idx="26">
                  <v>0.2619</v>
                </pt>
                <pt idx="27">
                  <v>0.2191</v>
                </pt>
                <pt idx="28">
                  <v>0.1827</v>
                </pt>
                <pt idx="29">
                  <v>0.1518</v>
                </pt>
                <pt idx="30">
                  <v>0.1258</v>
                </pt>
                <pt idx="31">
                  <v>0.1041</v>
                </pt>
                <pt idx="32">
                  <v>0.08599999999999999</v>
                </pt>
                <pt idx="33">
                  <v>0.0709</v>
                </pt>
                <pt idx="34">
                  <v>0.0584</v>
                </pt>
                <pt idx="35">
                  <v>0.048</v>
                </pt>
                <pt idx="36">
                  <v>0.1306</v>
                </pt>
                <pt idx="37">
                  <v>0.2182</v>
                </pt>
                <pt idx="38">
                  <v>0.3097</v>
                </pt>
                <pt idx="39">
                  <v>0.4044</v>
                </pt>
                <pt idx="40">
                  <v>0.5014</v>
                </pt>
                <pt idx="41">
                  <v>0.6</v>
                </pt>
                <pt idx="42">
                  <v>0.6998</v>
                </pt>
                <pt idx="43">
                  <v>0.8</v>
                </pt>
                <pt idx="44">
                  <v>0.9003</v>
                </pt>
                <pt idx="45">
                  <v>1</v>
                </pt>
              </numCache>
            </numRef>
          </val>
          <smooth val="1"/>
        </ser>
        <ser>
          <idx val="3"/>
          <order val="3"/>
          <tx>
            <strRef>
              <f>'AWS 50kt'!E23</f>
              <strCache>
                <ptCount val="1"/>
                <pt idx="0">
                  <v>3%</v>
                </pt>
              </strCache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 w="15120">
              <a:solidFill>
                <a:srgbClr val="4caf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50kt'!$E$24:$E$69</f>
              <numCache>
                <formatCode>0.0000</formatCode>
                <ptCount val="46"/>
                <pt idx="0">
                  <v>0.3856</v>
                </pt>
                <pt idx="1">
                  <v>0.5093</v>
                </pt>
                <pt idx="2">
                  <v>0.6331</v>
                </pt>
                <pt idx="3">
                  <v>0.7568</v>
                </pt>
                <pt idx="4">
                  <v>0.8806</v>
                </pt>
                <pt idx="5">
                  <v>1.0044</v>
                </pt>
                <pt idx="6">
                  <v>1.1281</v>
                </pt>
                <pt idx="7">
                  <v>1.2519</v>
                </pt>
                <pt idx="8">
                  <v>1.3756</v>
                </pt>
                <pt idx="9">
                  <v>1.4994</v>
                </pt>
                <pt idx="10">
                  <v>1.6231</v>
                </pt>
                <pt idx="11">
                  <v>1.7469</v>
                </pt>
                <pt idx="12">
                  <v>1.8706</v>
                </pt>
                <pt idx="13">
                  <v>1.9944</v>
                </pt>
                <pt idx="14">
                  <v>2.1181</v>
                </pt>
                <pt idx="15">
                  <v>1.1009</v>
                </pt>
                <pt idx="16">
                  <v>0.99</v>
                </pt>
                <pt idx="17">
                  <v>0.8816000000000001</v>
                </pt>
                <pt idx="18">
                  <v>0.7775</v>
                </pt>
                <pt idx="19">
                  <v>0.6796</v>
                </pt>
                <pt idx="20">
                  <v>0.589</v>
                </pt>
                <pt idx="21">
                  <v>0.5065</v>
                </pt>
                <pt idx="22">
                  <v>0.4325</v>
                </pt>
                <pt idx="23">
                  <v>0.367</v>
                </pt>
                <pt idx="24">
                  <v>0.3097</v>
                </pt>
                <pt idx="25">
                  <v>0.2602</v>
                </pt>
                <pt idx="26">
                  <v>0.2176</v>
                </pt>
                <pt idx="27">
                  <v>0.1814</v>
                </pt>
                <pt idx="28">
                  <v>0.1507</v>
                </pt>
                <pt idx="29">
                  <v>0.1249</v>
                </pt>
                <pt idx="30">
                  <v>0.1033</v>
                </pt>
                <pt idx="31">
                  <v>0.0853</v>
                </pt>
                <pt idx="32">
                  <v>0.0703</v>
                </pt>
                <pt idx="33">
                  <v>0.0579</v>
                </pt>
                <pt idx="34">
                  <v>0.0476</v>
                </pt>
                <pt idx="35">
                  <v>0.0392</v>
                </pt>
                <pt idx="36">
                  <v>0.1241</v>
                </pt>
                <pt idx="37">
                  <v>0.2134</v>
                </pt>
                <pt idx="38">
                  <v>0.3063</v>
                </pt>
                <pt idx="39">
                  <v>0.4019</v>
                </pt>
                <pt idx="40">
                  <v>0.4997</v>
                </pt>
                <pt idx="41">
                  <v>0.5989</v>
                </pt>
                <pt idx="42">
                  <v>0.6991000000000001</v>
                </pt>
                <pt idx="43">
                  <v>0.7997</v>
                </pt>
                <pt idx="44">
                  <v>0.9001</v>
                </pt>
                <pt idx="45">
                  <v>1</v>
                </pt>
              </numCache>
            </numRef>
          </val>
          <smooth val="1"/>
        </ser>
        <ser>
          <idx val="4"/>
          <order val="4"/>
          <tx>
            <strRef>
              <f>'AWS 50kt'!F23</f>
              <strCache>
                <ptCount val="1"/>
                <pt idx="0">
                  <v>4%</v>
                </pt>
              </strCache>
            </strRef>
          </tx>
          <spPr>
            <a:solidFill xmlns:a="http://schemas.openxmlformats.org/drawingml/2006/main">
              <a:srgbClr val="8bc34a"/>
            </a:solidFill>
            <a:ln xmlns:a="http://schemas.openxmlformats.org/drawingml/2006/main" w="15120">
              <a:solidFill>
                <a:srgbClr val="8bc34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50kt'!$F$24:$F$69</f>
              <numCache>
                <formatCode>0.0000</formatCode>
                <ptCount val="46"/>
                <pt idx="0">
                  <v>0.5141</v>
                </pt>
                <pt idx="1">
                  <v>0.6379</v>
                </pt>
                <pt idx="2">
                  <v>0.7616000000000001</v>
                </pt>
                <pt idx="3">
                  <v>0.8854</v>
                </pt>
                <pt idx="4">
                  <v>1.0091</v>
                </pt>
                <pt idx="5">
                  <v>1.1329</v>
                </pt>
                <pt idx="6">
                  <v>1.2566</v>
                </pt>
                <pt idx="7">
                  <v>1.3804</v>
                </pt>
                <pt idx="8">
                  <v>1.5041</v>
                </pt>
                <pt idx="9">
                  <v>1.6279</v>
                </pt>
                <pt idx="10">
                  <v>1.7516</v>
                </pt>
                <pt idx="11">
                  <v>1.8754</v>
                </pt>
                <pt idx="12">
                  <v>1.9991</v>
                </pt>
                <pt idx="13">
                  <v>2.1229</v>
                </pt>
                <pt idx="14">
                  <v>1.0966</v>
                </pt>
                <pt idx="15">
                  <v>0.9858</v>
                </pt>
                <pt idx="16">
                  <v>0.8774999999999999</v>
                </pt>
                <pt idx="17">
                  <v>0.7736</v>
                </pt>
                <pt idx="18">
                  <v>0.676</v>
                </pt>
                <pt idx="19">
                  <v>0.5856</v>
                </pt>
                <pt idx="20">
                  <v>0.5034999999999999</v>
                </pt>
                <pt idx="21">
                  <v>0.4298</v>
                </pt>
                <pt idx="22">
                  <v>0.3647</v>
                </pt>
                <pt idx="23">
                  <v>0.3077</v>
                </pt>
                <pt idx="24">
                  <v>0.2584</v>
                </pt>
                <pt idx="25">
                  <v>0.2161</v>
                </pt>
                <pt idx="26">
                  <v>0.1801</v>
                </pt>
                <pt idx="27">
                  <v>0.1496</v>
                </pt>
                <pt idx="28">
                  <v>0.124</v>
                </pt>
                <pt idx="29">
                  <v>0.1026</v>
                </pt>
                <pt idx="30">
                  <v>0.0847</v>
                </pt>
                <pt idx="31">
                  <v>0.0698</v>
                </pt>
                <pt idx="32">
                  <v>0.0575</v>
                </pt>
                <pt idx="33">
                  <v>0.0473</v>
                </pt>
                <pt idx="34">
                  <v>0.0389</v>
                </pt>
                <pt idx="35">
                  <v>0.0319</v>
                </pt>
                <pt idx="36">
                  <v>0.1187</v>
                </pt>
                <pt idx="37">
                  <v>0.2095</v>
                </pt>
                <pt idx="38">
                  <v>0.3034</v>
                </pt>
                <pt idx="39">
                  <v>0.3999</v>
                </pt>
                <pt idx="40">
                  <v>0.4983</v>
                </pt>
                <pt idx="41">
                  <v>0.598</v>
                </pt>
                <pt idx="42">
                  <v>0.6986</v>
                </pt>
                <pt idx="43">
                  <v>0.7994</v>
                </pt>
                <pt idx="44">
                  <v>0.9</v>
                </pt>
                <pt idx="45">
                  <v>1</v>
                </pt>
              </numCache>
            </numRef>
          </val>
          <smooth val="1"/>
        </ser>
        <ser>
          <idx val="5"/>
          <order val="5"/>
          <tx>
            <strRef>
              <f>'AWS 50kt'!G23</f>
              <strCache>
                <ptCount val="1"/>
                <pt idx="0">
                  <v>5%</v>
                </pt>
              </strCache>
            </strRef>
          </tx>
          <spPr>
            <a:solidFill xmlns:a="http://schemas.openxmlformats.org/drawingml/2006/main">
              <a:srgbClr val="cddc39"/>
            </a:solidFill>
            <a:ln xmlns:a="http://schemas.openxmlformats.org/drawingml/2006/main" w="15120">
              <a:solidFill>
                <a:srgbClr val="cddc3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50kt'!$G$24:$G$69</f>
              <numCache>
                <formatCode>0.0000</formatCode>
                <ptCount val="46"/>
                <pt idx="0">
                  <v>0.6427</v>
                </pt>
                <pt idx="1">
                  <v>0.7664</v>
                </pt>
                <pt idx="2">
                  <v>0.8902</v>
                </pt>
                <pt idx="3">
                  <v>1.0139</v>
                </pt>
                <pt idx="4">
                  <v>1.1377</v>
                </pt>
                <pt idx="5">
                  <v>1.2614</v>
                </pt>
                <pt idx="6">
                  <v>1.3852</v>
                </pt>
                <pt idx="7">
                  <v>1.5089</v>
                </pt>
                <pt idx="8">
                  <v>1.6327</v>
                </pt>
                <pt idx="9">
                  <v>1.7564</v>
                </pt>
                <pt idx="10">
                  <v>1.8802</v>
                </pt>
                <pt idx="11">
                  <v>2.0039</v>
                </pt>
                <pt idx="12">
                  <v>2.1277</v>
                </pt>
                <pt idx="13">
                  <v>1.0923</v>
                </pt>
                <pt idx="14">
                  <v>0.9815</v>
                </pt>
                <pt idx="15">
                  <v>0.8733</v>
                </pt>
                <pt idx="16">
                  <v>0.7697000000000001</v>
                </pt>
                <pt idx="17">
                  <v>0.6723</v>
                </pt>
                <pt idx="18">
                  <v>0.5823</v>
                </pt>
                <pt idx="19">
                  <v>0.5004999999999999</v>
                </pt>
                <pt idx="20">
                  <v>0.4272</v>
                </pt>
                <pt idx="21">
                  <v>0.3623</v>
                </pt>
                <pt idx="22">
                  <v>0.3057</v>
                </pt>
                <pt idx="23">
                  <v>0.2566</v>
                </pt>
                <pt idx="24">
                  <v>0.2146</v>
                </pt>
                <pt idx="25">
                  <v>0.1788</v>
                </pt>
                <pt idx="26">
                  <v>0.1486</v>
                </pt>
                <pt idx="27">
                  <v>0.1231</v>
                </pt>
                <pt idx="28">
                  <v>0.1018</v>
                </pt>
                <pt idx="29">
                  <v>0.08409999999999999</v>
                </pt>
                <pt idx="30">
                  <v>0.0693</v>
                </pt>
                <pt idx="31">
                  <v>0.0571</v>
                </pt>
                <pt idx="32">
                  <v>0.0469</v>
                </pt>
                <pt idx="33">
                  <v>0.0386</v>
                </pt>
                <pt idx="34">
                  <v>0.0317</v>
                </pt>
                <pt idx="35">
                  <v>0.026</v>
                </pt>
                <pt idx="36">
                  <v>0.1143</v>
                </pt>
                <pt idx="37">
                  <v>0.2063</v>
                </pt>
                <pt idx="38">
                  <v>0.3011</v>
                </pt>
                <pt idx="39">
                  <v>0.3983</v>
                </pt>
                <pt idx="40">
                  <v>0.4972</v>
                </pt>
                <pt idx="41">
                  <v>0.5973000000000001</v>
                </pt>
                <pt idx="42">
                  <v>0.6981000000000001</v>
                </pt>
                <pt idx="43">
                  <v>0.7991</v>
                </pt>
                <pt idx="44">
                  <v>0.8999</v>
                </pt>
                <pt idx="45">
                  <v>1</v>
                </pt>
              </numCache>
            </numRef>
          </val>
          <smooth val="1"/>
        </ser>
        <ser>
          <idx val="6"/>
          <order val="6"/>
          <tx>
            <strRef>
              <f>'AWS 50kt'!H23</f>
              <strCache>
                <ptCount val="1"/>
                <pt idx="0">
                  <v>6%</v>
                </pt>
              </strCache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 w="15120">
              <a:solidFill>
                <a:srgbClr val="ffc10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50kt'!$H$24:$H$69</f>
              <numCache>
                <formatCode>0.0000</formatCode>
                <ptCount val="46"/>
                <pt idx="0">
                  <v>0.7712</v>
                </pt>
                <pt idx="1">
                  <v>0.8949</v>
                </pt>
                <pt idx="2">
                  <v>1.0187</v>
                </pt>
                <pt idx="3">
                  <v>1.1424</v>
                </pt>
                <pt idx="4">
                  <v>1.2662</v>
                </pt>
                <pt idx="5">
                  <v>1.3899</v>
                </pt>
                <pt idx="6">
                  <v>1.5137</v>
                </pt>
                <pt idx="7">
                  <v>1.6374</v>
                </pt>
                <pt idx="8">
                  <v>1.7612</v>
                </pt>
                <pt idx="9">
                  <v>1.885</v>
                </pt>
                <pt idx="10">
                  <v>2.0087</v>
                </pt>
                <pt idx="11">
                  <v>2.1325</v>
                </pt>
                <pt idx="12">
                  <v>1.088</v>
                </pt>
                <pt idx="13">
                  <v>0.9772999999999999</v>
                </pt>
                <pt idx="14">
                  <v>0.8693</v>
                </pt>
                <pt idx="15">
                  <v>0.7659</v>
                </pt>
                <pt idx="16">
                  <v>0.6687</v>
                </pt>
                <pt idx="17">
                  <v>0.579</v>
                </pt>
                <pt idx="18">
                  <v>0.4975</v>
                </pt>
                <pt idx="19">
                  <v>0.4245</v>
                </pt>
                <pt idx="20">
                  <v>0.36</v>
                </pt>
                <pt idx="21">
                  <v>0.3036</v>
                </pt>
                <pt idx="22">
                  <v>0.2549</v>
                </pt>
                <pt idx="23">
                  <v>0.2131</v>
                </pt>
                <pt idx="24">
                  <v>0.1775</v>
                </pt>
                <pt idx="25">
                  <v>0.1475</v>
                </pt>
                <pt idx="26">
                  <v>0.1222</v>
                </pt>
                <pt idx="27">
                  <v>0.1011</v>
                </pt>
                <pt idx="28">
                  <v>0.0834</v>
                </pt>
                <pt idx="29">
                  <v>0.0688</v>
                </pt>
                <pt idx="30">
                  <v>0.0566</v>
                </pt>
                <pt idx="31">
                  <v>0.0466</v>
                </pt>
                <pt idx="32">
                  <v>0.0383</v>
                </pt>
                <pt idx="33">
                  <v>0.0314</v>
                </pt>
                <pt idx="34">
                  <v>0.0258</v>
                </pt>
                <pt idx="35">
                  <v>0.0212</v>
                </pt>
                <pt idx="36">
                  <v>0.1107</v>
                </pt>
                <pt idx="37">
                  <v>0.2036</v>
                </pt>
                <pt idx="38">
                  <v>0.2993</v>
                </pt>
                <pt idx="39">
                  <v>0.397</v>
                </pt>
                <pt idx="40">
                  <v>0.4963</v>
                </pt>
                <pt idx="41">
                  <v>0.5967</v>
                </pt>
                <pt idx="42">
                  <v>0.6977</v>
                </pt>
                <pt idx="43">
                  <v>0.7989000000000001</v>
                </pt>
                <pt idx="44">
                  <v>0.8998</v>
                </pt>
                <pt idx="45">
                  <v>1</v>
                </pt>
              </numCache>
            </numRef>
          </val>
          <smooth val="1"/>
        </ser>
        <ser>
          <idx val="7"/>
          <order val="7"/>
          <tx>
            <strRef>
              <f>'AWS 50kt'!I23</f>
              <strCache>
                <ptCount val="1"/>
                <pt idx="0">
                  <v>7%</v>
                </pt>
              </strCache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 w="15120">
              <a:solidFill>
                <a:srgbClr val="ff98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50kt'!$I$24:$I$69</f>
              <numCache>
                <formatCode>0.0000</formatCode>
                <ptCount val="46"/>
                <pt idx="0">
                  <v>0.8997000000000001</v>
                </pt>
                <pt idx="1">
                  <v>1.0235</v>
                </pt>
                <pt idx="2">
                  <v>1.1472</v>
                </pt>
                <pt idx="3">
                  <v>1.271</v>
                </pt>
                <pt idx="4">
                  <v>1.3947</v>
                </pt>
                <pt idx="5">
                  <v>1.5185</v>
                </pt>
                <pt idx="6">
                  <v>1.6422</v>
                </pt>
                <pt idx="7">
                  <v>1.766</v>
                </pt>
                <pt idx="8">
                  <v>1.8897</v>
                </pt>
                <pt idx="9">
                  <v>2.0135</v>
                </pt>
                <pt idx="10">
                  <v>2.1372</v>
                </pt>
                <pt idx="11">
                  <v>1.0837</v>
                </pt>
                <pt idx="12">
                  <v>0.973</v>
                </pt>
                <pt idx="13">
                  <v>0.8652</v>
                </pt>
                <pt idx="14">
                  <v>0.762</v>
                </pt>
                <pt idx="15">
                  <v>0.6651</v>
                </pt>
                <pt idx="16">
                  <v>0.5757</v>
                </pt>
                <pt idx="17">
                  <v>0.4945</v>
                </pt>
                <pt idx="18">
                  <v>0.4218</v>
                </pt>
                <pt idx="19">
                  <v>0.3577</v>
                </pt>
                <pt idx="20">
                  <v>0.3016</v>
                </pt>
                <pt idx="21">
                  <v>0.2531</v>
                </pt>
                <pt idx="22">
                  <v>0.2116</v>
                </pt>
                <pt idx="23">
                  <v>0.1763</v>
                </pt>
                <pt idx="24">
                  <v>0.1464</v>
                </pt>
                <pt idx="25">
                  <v>0.1213</v>
                </pt>
                <pt idx="26">
                  <v>0.1003</v>
                </pt>
                <pt idx="27">
                  <v>0.0828</v>
                </pt>
                <pt idx="28">
                  <v>0.0683</v>
                </pt>
                <pt idx="29">
                  <v>0.0562</v>
                </pt>
                <pt idx="30">
                  <v>0.0462</v>
                </pt>
                <pt idx="31">
                  <v>0.038</v>
                </pt>
                <pt idx="32">
                  <v>0.0312</v>
                </pt>
                <pt idx="33">
                  <v>0.0256</v>
                </pt>
                <pt idx="34">
                  <v>0.021</v>
                </pt>
                <pt idx="35">
                  <v>0.0172</v>
                </pt>
                <pt idx="36">
                  <v>0.1078</v>
                </pt>
                <pt idx="37">
                  <v>0.2015</v>
                </pt>
                <pt idx="38">
                  <v>0.2977</v>
                </pt>
                <pt idx="39">
                  <v>0.3959</v>
                </pt>
                <pt idx="40">
                  <v>0.4956</v>
                </pt>
                <pt idx="41">
                  <v>0.5962</v>
                </pt>
                <pt idx="42">
                  <v>0.6974</v>
                </pt>
                <pt idx="43">
                  <v>0.7988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8"/>
          <order val="8"/>
          <tx>
            <strRef>
              <f>'AWS 50kt'!J23</f>
              <strCache>
                <ptCount val="1"/>
                <pt idx="0">
                  <v>8%</v>
                </pt>
              </strCache>
            </strRef>
          </tx>
          <spPr>
            <a:solidFill xmlns:a="http://schemas.openxmlformats.org/drawingml/2006/main">
              <a:srgbClr val="ff5722"/>
            </a:solidFill>
            <a:ln xmlns:a="http://schemas.openxmlformats.org/drawingml/2006/main" w="15120">
              <a:solidFill>
                <a:srgbClr val="ff572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50kt'!$J$24:$J$69</f>
              <numCache>
                <formatCode>0.0000</formatCode>
                <ptCount val="46"/>
                <pt idx="0">
                  <v>1.0282</v>
                </pt>
                <pt idx="1">
                  <v>1.152</v>
                </pt>
                <pt idx="2">
                  <v>1.2758</v>
                </pt>
                <pt idx="3">
                  <v>1.3995</v>
                </pt>
                <pt idx="4">
                  <v>1.5233</v>
                </pt>
                <pt idx="5">
                  <v>1.647</v>
                </pt>
                <pt idx="6">
                  <v>1.7708</v>
                </pt>
                <pt idx="7">
                  <v>1.8945</v>
                </pt>
                <pt idx="8">
                  <v>2.0183</v>
                </pt>
                <pt idx="9">
                  <v>2.142</v>
                </pt>
                <pt idx="10">
                  <v>1.0794</v>
                </pt>
                <pt idx="11">
                  <v>0.9688</v>
                </pt>
                <pt idx="12">
                  <v>0.8611</v>
                </pt>
                <pt idx="13">
                  <v>0.7581</v>
                </pt>
                <pt idx="14">
                  <v>0.6615</v>
                </pt>
                <pt idx="15">
                  <v>0.5724</v>
                </pt>
                <pt idx="16">
                  <v>0.4915</v>
                </pt>
                <pt idx="17">
                  <v>0.4192</v>
                </pt>
                <pt idx="18">
                  <v>0.3553</v>
                </pt>
                <pt idx="19">
                  <v>0.2996</v>
                </pt>
                <pt idx="20">
                  <v>0.2514</v>
                </pt>
                <pt idx="21">
                  <v>0.2101</v>
                </pt>
                <pt idx="22">
                  <v>0.175</v>
                </pt>
                <pt idx="23">
                  <v>0.1454</v>
                </pt>
                <pt idx="24">
                  <v>0.1205</v>
                </pt>
                <pt idx="25">
                  <v>0.09959999999999999</v>
                </pt>
                <pt idx="26">
                  <v>0.0822</v>
                </pt>
                <pt idx="27">
                  <v>0.0678</v>
                </pt>
                <pt idx="28">
                  <v>0.0558</v>
                </pt>
                <pt idx="29">
                  <v>0.0459</v>
                </pt>
                <pt idx="30">
                  <v>0.0377</v>
                </pt>
                <pt idx="31">
                  <v>0.031</v>
                </pt>
                <pt idx="32">
                  <v>0.0254</v>
                </pt>
                <pt idx="33">
                  <v>0.0209</v>
                </pt>
                <pt idx="34">
                  <v>0.0171</v>
                </pt>
                <pt idx="35">
                  <v>0.014</v>
                </pt>
                <pt idx="36">
                  <v>0.1054</v>
                </pt>
                <pt idx="37">
                  <v>0.1998</v>
                </pt>
                <pt idx="38">
                  <v>0.2965</v>
                </pt>
                <pt idx="39">
                  <v>0.3951</v>
                </pt>
                <pt idx="40">
                  <v>0.495</v>
                </pt>
                <pt idx="41">
                  <v>0.5959</v>
                </pt>
                <pt idx="42">
                  <v>0.6972</v>
                </pt>
                <pt idx="43">
                  <v>0.7986</v>
                </pt>
                <pt idx="44">
                  <v>0.8997000000000001</v>
                </pt>
                <pt idx="45">
                  <v>1</v>
                </pt>
              </numCache>
            </numRef>
          </val>
          <smooth val="1"/>
        </ser>
        <ser>
          <idx val="9"/>
          <order val="9"/>
          <tx>
            <strRef>
              <f>'AWS 50kt'!K23</f>
              <strCache>
                <ptCount val="1"/>
                <pt idx="0">
                  <v>9%</v>
                </pt>
              </strCache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 w="15120">
              <a:solidFill>
                <a:srgbClr val="f4433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50kt'!$K$24:$K$69</f>
              <numCache>
                <formatCode>0.0000</formatCode>
                <ptCount val="46"/>
                <pt idx="0">
                  <v>1.1568</v>
                </pt>
                <pt idx="1">
                  <v>1.2805</v>
                </pt>
                <pt idx="2">
                  <v>1.4043</v>
                </pt>
                <pt idx="3">
                  <v>1.528</v>
                </pt>
                <pt idx="4">
                  <v>1.6518</v>
                </pt>
                <pt idx="5">
                  <v>1.7755</v>
                </pt>
                <pt idx="6">
                  <v>1.8993</v>
                </pt>
                <pt idx="7">
                  <v>2.023</v>
                </pt>
                <pt idx="8">
                  <v>2.1468</v>
                </pt>
                <pt idx="9">
                  <v>1.0751</v>
                </pt>
                <pt idx="10">
                  <v>0.9646</v>
                </pt>
                <pt idx="11">
                  <v>0.857</v>
                </pt>
                <pt idx="12">
                  <v>0.7543</v>
                </pt>
                <pt idx="13">
                  <v>0.6579</v>
                </pt>
                <pt idx="14">
                  <v>0.5691000000000001</v>
                </pt>
                <pt idx="15">
                  <v>0.4886</v>
                </pt>
                <pt idx="16">
                  <v>0.4166</v>
                </pt>
                <pt idx="17">
                  <v>0.353</v>
                </pt>
                <pt idx="18">
                  <v>0.2976</v>
                </pt>
                <pt idx="19">
                  <v>0.2497</v>
                </pt>
                <pt idx="20">
                  <v>0.2087</v>
                </pt>
                <pt idx="21">
                  <v>0.1738</v>
                </pt>
                <pt idx="22">
                  <v>0.1443</v>
                </pt>
                <pt idx="23">
                  <v>0.1196</v>
                </pt>
                <pt idx="24">
                  <v>0.0989</v>
                </pt>
                <pt idx="25">
                  <v>0.08160000000000001</v>
                </pt>
                <pt idx="26">
                  <v>0.0673</v>
                </pt>
                <pt idx="27">
                  <v>0.0554</v>
                </pt>
                <pt idx="28">
                  <v>0.0455</v>
                </pt>
                <pt idx="29">
                  <v>0.0374</v>
                </pt>
                <pt idx="30">
                  <v>0.0307</v>
                </pt>
                <pt idx="31">
                  <v>0.0252</v>
                </pt>
                <pt idx="32">
                  <v>0.0207</v>
                </pt>
                <pt idx="33">
                  <v>0.017</v>
                </pt>
                <pt idx="34">
                  <v>0.0139</v>
                </pt>
                <pt idx="35">
                  <v>0.0114</v>
                </pt>
                <pt idx="36">
                  <v>0.1035</v>
                </pt>
                <pt idx="37">
                  <v>0.1984</v>
                </pt>
                <pt idx="38">
                  <v>0.2955</v>
                </pt>
                <pt idx="39">
                  <v>0.3943</v>
                </pt>
                <pt idx="40">
                  <v>0.4945</v>
                </pt>
                <pt idx="41">
                  <v>0.5955</v>
                </pt>
                <pt idx="42">
                  <v>0.697</v>
                </pt>
                <pt idx="43">
                  <v>0.7985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0"/>
          <order val="10"/>
          <tx>
            <strRef>
              <f>'AWS 50kt'!L23</f>
              <strCache>
                <ptCount val="1"/>
                <pt idx="0">
                  <v>10%</v>
                </pt>
              </strCache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 w="15120">
              <a:solidFill>
                <a:srgbClr val="9c27b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50kt'!$L$24:$L$69</f>
              <numCache>
                <formatCode>0.0000</formatCode>
                <ptCount val="46"/>
                <pt idx="0">
                  <v>1.2853</v>
                </pt>
                <pt idx="1">
                  <v>1.4091</v>
                </pt>
                <pt idx="2">
                  <v>1.5328</v>
                </pt>
                <pt idx="3">
                  <v>1.6566</v>
                </pt>
                <pt idx="4">
                  <v>1.7803</v>
                </pt>
                <pt idx="5">
                  <v>1.9041</v>
                </pt>
                <pt idx="6">
                  <v>2.0278</v>
                </pt>
                <pt idx="7">
                  <v>2.1516</v>
                </pt>
                <pt idx="8">
                  <v>1.0708</v>
                </pt>
                <pt idx="9">
                  <v>0.9604</v>
                </pt>
                <pt idx="10">
                  <v>0.8529</v>
                </pt>
                <pt idx="11">
                  <v>0.7504</v>
                </pt>
                <pt idx="12">
                  <v>0.6543</v>
                </pt>
                <pt idx="13">
                  <v>0.5659</v>
                </pt>
                <pt idx="14">
                  <v>0.4856</v>
                </pt>
                <pt idx="15">
                  <v>0.414</v>
                </pt>
                <pt idx="16">
                  <v>0.3508</v>
                </pt>
                <pt idx="17">
                  <v>0.2956</v>
                </pt>
                <pt idx="18">
                  <v>0.248</v>
                </pt>
                <pt idx="19">
                  <v>0.2072</v>
                </pt>
                <pt idx="20">
                  <v>0.1726</v>
                </pt>
                <pt idx="21">
                  <v>0.1433</v>
                </pt>
                <pt idx="22">
                  <v>0.1187</v>
                </pt>
                <pt idx="23">
                  <v>0.09810000000000001</v>
                </pt>
                <pt idx="24">
                  <v>0.081</v>
                </pt>
                <pt idx="25">
                  <v>0.0668</v>
                </pt>
                <pt idx="26">
                  <v>0.055</v>
                </pt>
                <pt idx="27">
                  <v>0.0452</v>
                </pt>
                <pt idx="28">
                  <v>0.0371</v>
                </pt>
                <pt idx="29">
                  <v>0.0305</v>
                </pt>
                <pt idx="30">
                  <v>0.025</v>
                </pt>
                <pt idx="31">
                  <v>0.0205</v>
                </pt>
                <pt idx="32">
                  <v>0.0168</v>
                </pt>
                <pt idx="33">
                  <v>0.0138</v>
                </pt>
                <pt idx="34">
                  <v>0.0113</v>
                </pt>
                <pt idx="35">
                  <v>0.009299999999999999</v>
                </pt>
                <pt idx="36">
                  <v>0.1019</v>
                </pt>
                <pt idx="37">
                  <v>0.1972</v>
                </pt>
                <pt idx="38">
                  <v>0.2947</v>
                </pt>
                <pt idx="39">
                  <v>0.3938</v>
                </pt>
                <pt idx="40">
                  <v>0.4941</v>
                </pt>
                <pt idx="41">
                  <v>0.5953000000000001</v>
                </pt>
                <pt idx="42">
                  <v>0.6969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1"/>
          <order val="11"/>
          <tx>
            <strRef>
              <f>'AWS 50kt'!M23</f>
              <strCache>
                <ptCount val="1"/>
                <pt idx="0">
                  <v>11%</v>
                </pt>
              </strCache>
            </strRef>
          </tx>
          <spPr>
            <a:solidFill xmlns:a="http://schemas.openxmlformats.org/drawingml/2006/main">
              <a:srgbClr val="e91e63"/>
            </a:solidFill>
            <a:ln xmlns:a="http://schemas.openxmlformats.org/drawingml/2006/main" w="15120">
              <a:solidFill>
                <a:srgbClr val="e91e6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50kt'!$M$24:$M$69</f>
              <numCache>
                <formatCode>0.0000</formatCode>
                <ptCount val="46"/>
                <pt idx="0">
                  <v>1.4138</v>
                </pt>
                <pt idx="1">
                  <v>1.5376</v>
                </pt>
                <pt idx="2">
                  <v>1.6613</v>
                </pt>
                <pt idx="3">
                  <v>1.7851</v>
                </pt>
                <pt idx="4">
                  <v>1.9088</v>
                </pt>
                <pt idx="5">
                  <v>2.0326</v>
                </pt>
                <pt idx="6">
                  <v>2.1564</v>
                </pt>
                <pt idx="7">
                  <v>1.0665</v>
                </pt>
                <pt idx="8">
                  <v>0.9560999999999999</v>
                </pt>
                <pt idx="9">
                  <v>0.8489</v>
                </pt>
                <pt idx="10">
                  <v>0.7466</v>
                </pt>
                <pt idx="11">
                  <v>0.6508</v>
                </pt>
                <pt idx="12">
                  <v>0.5626</v>
                </pt>
                <pt idx="13">
                  <v>0.4827</v>
                </pt>
                <pt idx="14">
                  <v>0.4114</v>
                </pt>
                <pt idx="15">
                  <v>0.3485</v>
                </pt>
                <pt idx="16">
                  <v>0.2936</v>
                </pt>
                <pt idx="17">
                  <v>0.2463</v>
                </pt>
                <pt idx="18">
                  <v>0.2058</v>
                </pt>
                <pt idx="19">
                  <v>0.1713</v>
                </pt>
                <pt idx="20">
                  <v>0.1423</v>
                </pt>
                <pt idx="21">
                  <v>0.1178</v>
                </pt>
                <pt idx="22">
                  <v>0.0974</v>
                </pt>
                <pt idx="23">
                  <v>0.0804</v>
                </pt>
                <pt idx="24">
                  <v>0.0663</v>
                </pt>
                <pt idx="25">
                  <v>0.0545</v>
                </pt>
                <pt idx="26">
                  <v>0.0449</v>
                </pt>
                <pt idx="27">
                  <v>0.0369</v>
                </pt>
                <pt idx="28">
                  <v>0.0303</v>
                </pt>
                <pt idx="29">
                  <v>0.0248</v>
                </pt>
                <pt idx="30">
                  <v>0.0204</v>
                </pt>
                <pt idx="31">
                  <v>0.0167</v>
                </pt>
                <pt idx="32">
                  <v>0.0137</v>
                </pt>
                <pt idx="33">
                  <v>0.0112</v>
                </pt>
                <pt idx="34">
                  <v>0.0092</v>
                </pt>
                <pt idx="35">
                  <v>0.0075</v>
                </pt>
                <pt idx="36">
                  <v>0.1007</v>
                </pt>
                <pt idx="37">
                  <v>0.1963</v>
                </pt>
                <pt idx="38">
                  <v>0.294</v>
                </pt>
                <pt idx="39">
                  <v>0.3933</v>
                </pt>
                <pt idx="40">
                  <v>0.4938</v>
                </pt>
                <pt idx="41">
                  <v>0.5951</v>
                </pt>
                <pt idx="42">
                  <v>0.6967</v>
                </pt>
                <pt idx="43">
                  <v>0.7984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2"/>
          <order val="12"/>
          <tx>
            <strRef>
              <f>'AWS 50kt'!N23</f>
              <strCache>
                <ptCount val="1"/>
                <pt idx="0">
                  <v>12%</v>
                </pt>
              </strCache>
            </strRef>
          </tx>
          <spPr>
            <a:solidFill xmlns:a="http://schemas.openxmlformats.org/drawingml/2006/main">
              <a:srgbClr val="795548"/>
            </a:solidFill>
            <a:ln xmlns:a="http://schemas.openxmlformats.org/drawingml/2006/main" w="15120">
              <a:solidFill>
                <a:srgbClr val="7955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50kt'!$N$24:$N$69</f>
              <numCache>
                <formatCode>0.0000</formatCode>
                <ptCount val="46"/>
                <pt idx="0">
                  <v>1.5424</v>
                </pt>
                <pt idx="1">
                  <v>1.6661</v>
                </pt>
                <pt idx="2">
                  <v>1.7899</v>
                </pt>
                <pt idx="3">
                  <v>1.9136</v>
                </pt>
                <pt idx="4">
                  <v>2.0374</v>
                </pt>
                <pt idx="5">
                  <v>2.1611</v>
                </pt>
                <pt idx="6">
                  <v>1.0622</v>
                </pt>
                <pt idx="7">
                  <v>0.9519</v>
                </pt>
                <pt idx="8">
                  <v>0.8448</v>
                </pt>
                <pt idx="9">
                  <v>0.7427</v>
                </pt>
                <pt idx="10">
                  <v>0.6472</v>
                </pt>
                <pt idx="11">
                  <v>0.5594</v>
                </pt>
                <pt idx="12">
                  <v>0.4798</v>
                </pt>
                <pt idx="13">
                  <v>0.4088</v>
                </pt>
                <pt idx="14">
                  <v>0.3462</v>
                </pt>
                <pt idx="15">
                  <v>0.2917</v>
                </pt>
                <pt idx="16">
                  <v>0.2446</v>
                </pt>
                <pt idx="17">
                  <v>0.2043</v>
                </pt>
                <pt idx="18">
                  <v>0.1701</v>
                </pt>
                <pt idx="19">
                  <v>0.1412</v>
                </pt>
                <pt idx="20">
                  <v>0.117</v>
                </pt>
                <pt idx="21">
                  <v>0.09669999999999999</v>
                </pt>
                <pt idx="22">
                  <v>0.0798</v>
                </pt>
                <pt idx="23">
                  <v>0.0658</v>
                </pt>
                <pt idx="24">
                  <v>0.0541</v>
                </pt>
                <pt idx="25">
                  <v>0.0445</v>
                </pt>
                <pt idx="26">
                  <v>0.0366</v>
                </pt>
                <pt idx="27">
                  <v>0.03</v>
                </pt>
                <pt idx="28">
                  <v>0.0247</v>
                </pt>
                <pt idx="29">
                  <v>0.0202</v>
                </pt>
                <pt idx="30">
                  <v>0.0166</v>
                </pt>
                <pt idx="31">
                  <v>0.0136</v>
                </pt>
                <pt idx="32">
                  <v>0.0111</v>
                </pt>
                <pt idx="33">
                  <v>0.0091</v>
                </pt>
                <pt idx="34">
                  <v>0.0075</v>
                </pt>
                <pt idx="35">
                  <v>0.0061</v>
                </pt>
                <pt idx="36">
                  <v>0.09959999999999999</v>
                </pt>
                <pt idx="37">
                  <v>0.1955</v>
                </pt>
                <pt idx="38">
                  <v>0.2934</v>
                </pt>
                <pt idx="39">
                  <v>0.3929</v>
                </pt>
                <pt idx="40">
                  <v>0.4935</v>
                </pt>
                <pt idx="41">
                  <v>0.5949</v>
                </pt>
                <pt idx="42">
                  <v>0.6966</v>
                </pt>
                <pt idx="43">
                  <v>0.7983</v>
                </pt>
                <pt idx="44">
                  <v>0.8996</v>
                </pt>
                <pt idx="45">
                  <v>1</v>
                </pt>
              </numCache>
            </numRef>
          </val>
          <smooth val="1"/>
        </ser>
        <ser>
          <idx val="13"/>
          <order val="13"/>
          <tx>
            <strRef>
              <f>'AWS 50kt'!O23</f>
              <strCache>
                <ptCount val="1"/>
                <pt idx="0">
                  <v>13%</v>
                </pt>
              </strCache>
            </strRef>
          </tx>
          <spPr>
            <a:solidFill xmlns:a="http://schemas.openxmlformats.org/drawingml/2006/main">
              <a:srgbClr val="607d8b"/>
            </a:solidFill>
            <a:ln xmlns:a="http://schemas.openxmlformats.org/drawingml/2006/main" w="15120">
              <a:solidFill>
                <a:srgbClr val="607d8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50kt'!$O$24:$O$69</f>
              <numCache>
                <formatCode>0.0000</formatCode>
                <ptCount val="46"/>
                <pt idx="0">
                  <v>1.6709</v>
                </pt>
                <pt idx="1">
                  <v>1.7947</v>
                </pt>
                <pt idx="2">
                  <v>1.9184</v>
                </pt>
                <pt idx="3">
                  <v>2.0422</v>
                </pt>
                <pt idx="4">
                  <v>2.1659</v>
                </pt>
                <pt idx="5">
                  <v>1.0579</v>
                </pt>
                <pt idx="6">
                  <v>0.9477</v>
                </pt>
                <pt idx="7">
                  <v>0.8408</v>
                </pt>
                <pt idx="8">
                  <v>0.7389</v>
                </pt>
                <pt idx="9">
                  <v>0.6437</v>
                </pt>
                <pt idx="10">
                  <v>0.5561</v>
                </pt>
                <pt idx="11">
                  <v>0.4769</v>
                </pt>
                <pt idx="12">
                  <v>0.4062</v>
                </pt>
                <pt idx="13">
                  <v>0.344</v>
                </pt>
                <pt idx="14">
                  <v>0.2897</v>
                </pt>
                <pt idx="15">
                  <v>0.2429</v>
                </pt>
                <pt idx="16">
                  <v>0.2029</v>
                </pt>
                <pt idx="17">
                  <v>0.1689</v>
                </pt>
                <pt idx="18">
                  <v>0.1402</v>
                </pt>
                <pt idx="19">
                  <v>0.1161</v>
                </pt>
                <pt idx="20">
                  <v>0.096</v>
                </pt>
                <pt idx="21">
                  <v>0.07920000000000001</v>
                </pt>
                <pt idx="22">
                  <v>0.0653</v>
                </pt>
                <pt idx="23">
                  <v>0.0537</v>
                </pt>
                <pt idx="24">
                  <v>0.0442</v>
                </pt>
                <pt idx="25">
                  <v>0.0363</v>
                </pt>
                <pt idx="26">
                  <v>0.0298</v>
                </pt>
                <pt idx="27">
                  <v>0.0245</v>
                </pt>
                <pt idx="28">
                  <v>0.0201</v>
                </pt>
                <pt idx="29">
                  <v>0.0165</v>
                </pt>
                <pt idx="30">
                  <v>0.0135</v>
                </pt>
                <pt idx="31">
                  <v>0.0111</v>
                </pt>
                <pt idx="32">
                  <v>0.0091</v>
                </pt>
                <pt idx="33">
                  <v>0.0074</v>
                </pt>
                <pt idx="34">
                  <v>0.0061</v>
                </pt>
                <pt idx="35">
                  <v>0.005</v>
                </pt>
                <pt idx="36">
                  <v>0.0988</v>
                </pt>
                <pt idx="37">
                  <v>0.1949</v>
                </pt>
                <pt idx="38">
                  <v>0.293</v>
                </pt>
                <pt idx="39">
                  <v>0.3926</v>
                </pt>
                <pt idx="40">
                  <v>0.4933</v>
                </pt>
                <pt idx="41">
                  <v>0.5948</v>
                </pt>
                <pt idx="42">
                  <v>0.6965</v>
                </pt>
                <pt idx="43">
                  <v>0.7983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4"/>
          <order val="14"/>
          <tx>
            <strRef>
              <f>'AWS 50kt'!P23</f>
              <strCache>
                <ptCount val="1"/>
                <pt idx="0">
                  <v>14%</v>
                </pt>
              </strCache>
            </strRef>
          </tx>
          <spPr>
            <a:solidFill xmlns:a="http://schemas.openxmlformats.org/drawingml/2006/main">
              <a:srgbClr val="009688"/>
            </a:solidFill>
            <a:ln xmlns:a="http://schemas.openxmlformats.org/drawingml/2006/main" w="15120">
              <a:solidFill>
                <a:srgbClr val="0096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50kt'!$P$24:$P$69</f>
              <numCache>
                <formatCode>0.0000</formatCode>
                <ptCount val="46"/>
                <pt idx="0">
                  <v>1.7994</v>
                </pt>
                <pt idx="1">
                  <v>1.9232</v>
                </pt>
                <pt idx="2">
                  <v>2.0469</v>
                </pt>
                <pt idx="3">
                  <v>2.1707</v>
                </pt>
                <pt idx="4">
                  <v>1.0536</v>
                </pt>
                <pt idx="5">
                  <v>0.9435</v>
                </pt>
                <pt idx="6">
                  <v>0.8367</v>
                </pt>
                <pt idx="7">
                  <v>0.7351</v>
                </pt>
                <pt idx="8">
                  <v>0.6402</v>
                </pt>
                <pt idx="9">
                  <v>0.5528999999999999</v>
                </pt>
                <pt idx="10">
                  <v>0.474</v>
                </pt>
                <pt idx="11">
                  <v>0.4037</v>
                </pt>
                <pt idx="12">
                  <v>0.3417</v>
                </pt>
                <pt idx="13">
                  <v>0.2878</v>
                </pt>
                <pt idx="14">
                  <v>0.2413</v>
                </pt>
                <pt idx="15">
                  <v>0.2015</v>
                </pt>
                <pt idx="16">
                  <v>0.1677</v>
                </pt>
                <pt idx="17">
                  <v>0.1392</v>
                </pt>
                <pt idx="18">
                  <v>0.1153</v>
                </pt>
                <pt idx="19">
                  <v>0.0953</v>
                </pt>
                <pt idx="20">
                  <v>0.0786</v>
                </pt>
                <pt idx="21">
                  <v>0.0648</v>
                </pt>
                <pt idx="22">
                  <v>0.0533</v>
                </pt>
                <pt idx="23">
                  <v>0.0438</v>
                </pt>
                <pt idx="24">
                  <v>0.036</v>
                </pt>
                <pt idx="25">
                  <v>0.0296</v>
                </pt>
                <pt idx="26">
                  <v>0.0243</v>
                </pt>
                <pt idx="27">
                  <v>0.0199</v>
                </pt>
                <pt idx="28">
                  <v>0.0163</v>
                </pt>
                <pt idx="29">
                  <v>0.0134</v>
                </pt>
                <pt idx="30">
                  <v>0.011</v>
                </pt>
                <pt idx="31">
                  <v>0.008999999999999999</v>
                </pt>
                <pt idx="32">
                  <v>0.0074</v>
                </pt>
                <pt idx="33">
                  <v>0.006</v>
                </pt>
                <pt idx="34">
                  <v>0.0049</v>
                </pt>
                <pt idx="35">
                  <v>0.004</v>
                </pt>
                <pt idx="36">
                  <v>0.09810000000000001</v>
                </pt>
                <pt idx="37">
                  <v>0.1944</v>
                </pt>
                <pt idx="38">
                  <v>0.2926</v>
                </pt>
                <pt idx="39">
                  <v>0.3924</v>
                </pt>
                <pt idx="40">
                  <v>0.4931</v>
                </pt>
                <pt idx="41">
                  <v>0.5946</v>
                </pt>
                <pt idx="42">
                  <v>0.6965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ser>
          <idx val="15"/>
          <order val="15"/>
          <tx>
            <strRef>
              <f>'AWS 50kt'!Q23</f>
              <strCache>
                <ptCount val="1"/>
                <pt idx="0">
                  <v>15%</v>
                </pt>
              </strCache>
            </strRef>
          </tx>
          <spPr>
            <a:solidFill xmlns:a="http://schemas.openxmlformats.org/drawingml/2006/main">
              <a:srgbClr val="ff6f00"/>
            </a:solidFill>
            <a:ln xmlns:a="http://schemas.openxmlformats.org/drawingml/2006/main" w="15120">
              <a:solidFill>
                <a:srgbClr val="ff6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'AWS 50kt'!$A$24:$A$69</f>
              <strCache>
                <ptCount val="4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</strCache>
            </strRef>
          </cat>
          <val>
            <numRef>
              <f>'AWS 50kt'!$Q$24:$Q$69</f>
              <numCache>
                <formatCode>0.0000</formatCode>
                <ptCount val="46"/>
                <pt idx="0">
                  <v>1.928</v>
                </pt>
                <pt idx="1">
                  <v>2.0517</v>
                </pt>
                <pt idx="2">
                  <v>2.1755</v>
                </pt>
                <pt idx="3">
                  <v>1.0493</v>
                </pt>
                <pt idx="4">
                  <v>0.9393</v>
                </pt>
                <pt idx="5">
                  <v>0.8327</v>
                </pt>
                <pt idx="6">
                  <v>0.7313</v>
                </pt>
                <pt idx="7">
                  <v>0.6366000000000001</v>
                </pt>
                <pt idx="8">
                  <v>0.5497</v>
                </pt>
                <pt idx="9">
                  <v>0.4711</v>
                </pt>
                <pt idx="10">
                  <v>0.4011</v>
                </pt>
                <pt idx="11">
                  <v>0.3395</v>
                </pt>
                <pt idx="12">
                  <v>0.2858</v>
                </pt>
                <pt idx="13">
                  <v>0.2396</v>
                </pt>
                <pt idx="14">
                  <v>0.2001</v>
                </pt>
                <pt idx="15">
                  <v>0.1665</v>
                </pt>
                <pt idx="16">
                  <v>0.1382</v>
                </pt>
                <pt idx="17">
                  <v>0.1144</v>
                </pt>
                <pt idx="18">
                  <v>0.0946</v>
                </pt>
                <pt idx="19">
                  <v>0.078</v>
                </pt>
                <pt idx="20">
                  <v>0.0643</v>
                </pt>
                <pt idx="21">
                  <v>0.0529</v>
                </pt>
                <pt idx="22">
                  <v>0.0435</v>
                </pt>
                <pt idx="23">
                  <v>0.0358</v>
                </pt>
                <pt idx="24">
                  <v>0.0294</v>
                </pt>
                <pt idx="25">
                  <v>0.0241</v>
                </pt>
                <pt idx="26">
                  <v>0.0198</v>
                </pt>
                <pt idx="27">
                  <v>0.0162</v>
                </pt>
                <pt idx="28">
                  <v>0.0133</v>
                </pt>
                <pt idx="29">
                  <v>0.0109</v>
                </pt>
                <pt idx="30">
                  <v>0.0089</v>
                </pt>
                <pt idx="31">
                  <v>0.0073</v>
                </pt>
                <pt idx="32">
                  <v>0.006</v>
                </pt>
                <pt idx="33">
                  <v>0.0049</v>
                </pt>
                <pt idx="34">
                  <v>0.004</v>
                </pt>
                <pt idx="35">
                  <v>0.0033</v>
                </pt>
                <pt idx="36">
                  <v>0.0975</v>
                </pt>
                <pt idx="37">
                  <v>0.194</v>
                </pt>
                <pt idx="38">
                  <v>0.2924</v>
                </pt>
                <pt idx="39">
                  <v>0.3921</v>
                </pt>
                <pt idx="40">
                  <v>0.493</v>
                </pt>
                <pt idx="41">
                  <v>0.5946</v>
                </pt>
                <pt idx="42">
                  <v>0.6964</v>
                </pt>
                <pt idx="43">
                  <v>0.7982</v>
                </pt>
                <pt idx="44">
                  <v>0.8995</v>
                </pt>
                <pt idx="45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56852080"/>
        <axId val="25562021"/>
      </lineChart>
      <catAx>
        <axId val="5685208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5562021"/>
        <crosses val="autoZero"/>
        <auto val="1"/>
        <lblAlgn val="ctr"/>
        <lblOffset val="100"/>
        <noMultiLvlLbl val="0"/>
      </catAx>
      <valAx>
        <axId val="2556202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685208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 editAs="oneCell">
    <from>
      <col>24</col>
      <colOff>0</colOff>
      <row>1</row>
      <rowOff>0</rowOff>
    </from>
    <to>
      <col>35</col>
      <colOff>473040</colOff>
      <row>27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28" min="1" max="4"/>
  </cols>
  <sheetData>
    <row r="1" ht="27.75" customHeight="1" s="29">
      <c r="A1" s="30" t="inlineStr">
        <is>
          <t>Matrice Aérodynamique 3D — Aile Windelo | ACCWing Afinado</t>
        </is>
      </c>
    </row>
    <row r="3" ht="15" customHeight="1" s="29">
      <c r="A3" s="31" t="inlineStr">
        <is>
          <t>c_root / c_tip / b</t>
        </is>
      </c>
      <c r="B3" s="32" t="inlineStr">
        <is>
          <t>6.85m / 2.81m / 21.67m</t>
        </is>
      </c>
    </row>
    <row r="4" ht="15" customHeight="1" s="29">
      <c r="A4" s="33" t="inlineStr">
        <is>
          <t>c̄ / S / AR / e</t>
        </is>
      </c>
      <c r="B4" s="34" t="inlineStr">
        <is>
          <t>4.833m   104.7m²   4.484   0.9463</t>
        </is>
      </c>
    </row>
    <row r="5" ht="15" customHeight="1" s="29">
      <c r="A5" s="31" t="inlineStr">
        <is>
          <t>kCl</t>
        </is>
      </c>
      <c r="B5" s="32" t="inlineStr">
        <is>
          <t>0.981818  (calibré CFD)</t>
        </is>
      </c>
    </row>
    <row r="6" ht="15" customHeight="1" s="29">
      <c r="A6" s="33" t="inlineStr">
        <is>
          <t>αe stall</t>
        </is>
      </c>
      <c r="B6" s="34" t="inlineStr">
        <is>
          <t>18.0°  — AOA stall diminue avec la cambrure</t>
        </is>
      </c>
    </row>
    <row r="7" ht="15" customHeight="1" s="29">
      <c r="A7" s="31" t="inlineStr">
        <is>
          <t>Cl_max</t>
        </is>
      </c>
      <c r="B7" s="32" t="inlineStr">
        <is>
          <t>2.2275  (profil, identique toutes cambrures)</t>
        </is>
      </c>
    </row>
    <row r="8" ht="15" customHeight="1" s="29">
      <c r="A8" s="33" t="inlineStr">
        <is>
          <t>Cd modèle</t>
        </is>
      </c>
      <c r="B8" s="34" t="inlineStr">
        <is>
          <t>Cd = Cd_fric(Re) + k(cam) × Cl²  (sans plafond)</t>
        </is>
      </c>
    </row>
    <row r="9" ht="15" customHeight="1" s="29">
      <c r="A9" s="31" t="inlineStr">
        <is>
          <t>Calibration</t>
        </is>
      </c>
      <c r="B9" s="32" t="inlineStr">
        <is>
          <t>cam=0%: Cd=0.013 ✓   cam=12%: Cd=0.260 ✓</t>
        </is>
      </c>
    </row>
    <row r="10" ht="15" customHeight="1" s="29">
      <c r="A10" s="33" t="inlineStr">
        <is>
          <t>AWS</t>
        </is>
      </c>
      <c r="B10" s="34" t="inlineStr">
        <is>
          <t>5 → 50kt  (pas 5kt)</t>
        </is>
      </c>
    </row>
    <row r="13" ht="15" customHeight="1" s="29">
      <c r="A13" s="35" t="inlineStr">
        <is>
          <t>Reynolds vs AWS</t>
        </is>
      </c>
    </row>
    <row r="14" ht="15" customHeight="1" s="29">
      <c r="A14" s="36" t="inlineStr">
        <is>
          <t>AWS (kt)</t>
        </is>
      </c>
      <c r="B14" s="36" t="inlineStr">
        <is>
          <t>AWS (m/s)</t>
        </is>
      </c>
      <c r="C14" s="36" t="inlineStr">
        <is>
          <t>Reynolds</t>
        </is>
      </c>
      <c r="D14" s="36" t="inlineStr">
        <is>
          <t>Cd_fric</t>
        </is>
      </c>
    </row>
    <row r="15" ht="15" customHeight="1" s="29">
      <c r="A15" s="37" t="n">
        <v>5</v>
      </c>
      <c r="B15" s="38" t="n">
        <v>2.57</v>
      </c>
      <c r="C15" s="39" t="inlineStr">
        <is>
          <t>8.29e+05</t>
        </is>
      </c>
      <c r="D15" s="40" t="n">
        <v>0.01918</v>
      </c>
    </row>
    <row r="16" ht="15" customHeight="1" s="29">
      <c r="A16" s="41" t="n">
        <v>10</v>
      </c>
      <c r="B16" s="42" t="n">
        <v>5.14</v>
      </c>
      <c r="C16" s="43" t="inlineStr">
        <is>
          <t>1.66e+06</t>
        </is>
      </c>
      <c r="D16" s="44" t="n">
        <v>0.0167</v>
      </c>
    </row>
    <row r="17" ht="15" customHeight="1" s="29">
      <c r="A17" s="37" t="n">
        <v>15</v>
      </c>
      <c r="B17" s="38" t="n">
        <v>7.72</v>
      </c>
      <c r="C17" s="39" t="inlineStr">
        <is>
          <t>2.49e+06</t>
        </is>
      </c>
      <c r="D17" s="40" t="n">
        <v>0.0154</v>
      </c>
    </row>
    <row r="18" ht="15" customHeight="1" s="29">
      <c r="A18" s="41" t="n">
        <v>20</v>
      </c>
      <c r="B18" s="42" t="n">
        <v>10.29</v>
      </c>
      <c r="C18" s="43" t="inlineStr">
        <is>
          <t>3.31e+06</t>
        </is>
      </c>
      <c r="D18" s="44" t="n">
        <v>0.01454</v>
      </c>
    </row>
    <row r="19" ht="15" customHeight="1" s="29">
      <c r="A19" s="37" t="n">
        <v>25</v>
      </c>
      <c r="B19" s="38" t="n">
        <v>12.86</v>
      </c>
      <c r="C19" s="39" t="inlineStr">
        <is>
          <t>4.14e+06</t>
        </is>
      </c>
      <c r="D19" s="40" t="n">
        <v>0.0139</v>
      </c>
    </row>
    <row r="20" ht="15" customHeight="1" s="29">
      <c r="A20" s="41" t="n">
        <v>30</v>
      </c>
      <c r="B20" s="42" t="n">
        <v>15.43</v>
      </c>
      <c r="C20" s="43" t="inlineStr">
        <is>
          <t>4.97e+06</t>
        </is>
      </c>
      <c r="D20" s="44" t="n">
        <v>0.0134</v>
      </c>
    </row>
    <row r="21" ht="15" customHeight="1" s="29">
      <c r="A21" s="37" t="n">
        <v>35</v>
      </c>
      <c r="B21" s="38" t="n">
        <v>18</v>
      </c>
      <c r="C21" s="39" t="inlineStr">
        <is>
          <t>5.80e+06</t>
        </is>
      </c>
      <c r="D21" s="40" t="n">
        <v>0.013</v>
      </c>
    </row>
    <row r="22" ht="15" customHeight="1" s="29">
      <c r="A22" s="41" t="n">
        <v>40</v>
      </c>
      <c r="B22" s="42" t="n">
        <v>20.58</v>
      </c>
      <c r="C22" s="43" t="inlineStr">
        <is>
          <t>6.63e+06</t>
        </is>
      </c>
      <c r="D22" s="44" t="n">
        <v>0.01265</v>
      </c>
    </row>
    <row r="23" ht="15" customHeight="1" s="29">
      <c r="A23" s="37" t="n">
        <v>45</v>
      </c>
      <c r="B23" s="38" t="n">
        <v>23.15</v>
      </c>
      <c r="C23" s="39" t="inlineStr">
        <is>
          <t>7.46e+06</t>
        </is>
      </c>
      <c r="D23" s="40" t="n">
        <v>0.01236</v>
      </c>
    </row>
    <row r="24" ht="15" customHeight="1" s="29">
      <c r="A24" s="41" t="n">
        <v>50</v>
      </c>
      <c r="B24" s="42" t="n">
        <v>25.72</v>
      </c>
      <c r="C24" s="43" t="inlineStr">
        <is>
          <t>8.29e+06</t>
        </is>
      </c>
      <c r="D24" s="44" t="n">
        <v>0.0121</v>
      </c>
    </row>
  </sheetData>
  <mergeCells count="2">
    <mergeCell ref="A1:E1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AWS=5kt   Re=8.29e+05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0.0192</v>
      </c>
      <c r="M4" s="51" t="n">
        <v>0.0192</v>
      </c>
      <c r="N4" s="51" t="n">
        <v>0.0192</v>
      </c>
      <c r="O4" s="51" t="n">
        <v>0.0192</v>
      </c>
      <c r="P4" s="51" t="n">
        <v>0.1593</v>
      </c>
      <c r="Q4" s="51" t="n">
        <v>0.3057</v>
      </c>
      <c r="R4" s="51" t="n">
        <v>0.4776</v>
      </c>
      <c r="S4" s="51" t="n">
        <v>0.6559</v>
      </c>
      <c r="T4" s="51" t="n">
        <v>0.8309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0.0193</v>
      </c>
      <c r="M5" s="51" t="n">
        <v>0.0216</v>
      </c>
      <c r="N5" s="51" t="n">
        <v>0.0274</v>
      </c>
      <c r="O5" s="51" t="n">
        <v>0.0366</v>
      </c>
      <c r="P5" s="51" t="n">
        <v>0.1734</v>
      </c>
      <c r="Q5" s="51" t="n">
        <v>0.3174</v>
      </c>
      <c r="R5" s="51" t="n">
        <v>0.485</v>
      </c>
      <c r="S5" s="51" t="n">
        <v>0.6598000000000001</v>
      </c>
      <c r="T5" s="51" t="n">
        <v>0.8324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0.0198</v>
      </c>
      <c r="M6" s="51" t="n">
        <v>0.026</v>
      </c>
      <c r="N6" s="51" t="n">
        <v>0.0389</v>
      </c>
      <c r="O6" s="51" t="n">
        <v>0.0586</v>
      </c>
      <c r="P6" s="51" t="n">
        <v>0.1855</v>
      </c>
      <c r="Q6" s="51" t="n">
        <v>0.3272</v>
      </c>
      <c r="R6" s="51" t="n">
        <v>0.4911</v>
      </c>
      <c r="S6" s="51" t="n">
        <v>0.663</v>
      </c>
      <c r="T6" s="51" t="n">
        <v>0.8337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0.0211</v>
      </c>
      <c r="M7" s="51" t="n">
        <v>0.0325</v>
      </c>
      <c r="N7" s="51" t="n">
        <v>0.0541</v>
      </c>
      <c r="O7" s="51" t="n">
        <v>0.103</v>
      </c>
      <c r="P7" s="51" t="n">
        <v>0.1959</v>
      </c>
      <c r="Q7" s="51" t="n">
        <v>0.3356</v>
      </c>
      <c r="R7" s="51" t="n">
        <v>0.4961</v>
      </c>
      <c r="S7" s="51" t="n">
        <v>0.6656</v>
      </c>
      <c r="T7" s="51" t="n">
        <v>0.8349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0.0238</v>
      </c>
      <c r="M8" s="51" t="n">
        <v>0.0418</v>
      </c>
      <c r="N8" s="51" t="n">
        <v>0.0733</v>
      </c>
      <c r="O8" s="51" t="n">
        <v>0.111</v>
      </c>
      <c r="P8" s="51" t="n">
        <v>0.2047</v>
      </c>
      <c r="Q8" s="51" t="n">
        <v>0.3426</v>
      </c>
      <c r="R8" s="51" t="n">
        <v>0.5003</v>
      </c>
      <c r="S8" s="51" t="n">
        <v>0.6677</v>
      </c>
      <c r="T8" s="51" t="n">
        <v>0.8359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0.0283</v>
      </c>
      <c r="M9" s="51" t="n">
        <v>0.0543</v>
      </c>
      <c r="N9" s="51" t="n">
        <v>0.09719999999999999</v>
      </c>
      <c r="O9" s="51" t="n">
        <v>0.1175</v>
      </c>
      <c r="P9" s="51" t="n">
        <v>0.2123</v>
      </c>
      <c r="Q9" s="51" t="n">
        <v>0.3484</v>
      </c>
      <c r="R9" s="51" t="n">
        <v>0.5037</v>
      </c>
      <c r="S9" s="51" t="n">
        <v>0.6695</v>
      </c>
      <c r="T9" s="51" t="n">
        <v>0.8369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0.0349</v>
      </c>
      <c r="M10" s="51" t="n">
        <v>0.0703</v>
      </c>
      <c r="N10" s="51" t="n">
        <v>0.126</v>
      </c>
      <c r="O10" s="51" t="n">
        <v>0.1226</v>
      </c>
      <c r="P10" s="51" t="n">
        <v>0.2188</v>
      </c>
      <c r="Q10" s="51" t="n">
        <v>0.3533</v>
      </c>
      <c r="R10" s="51" t="n">
        <v>0.5066000000000001</v>
      </c>
      <c r="S10" s="51" t="n">
        <v>0.6709000000000001</v>
      </c>
      <c r="T10" s="51" t="n">
        <v>0.8377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0.0442</v>
      </c>
      <c r="M11" s="51" t="n">
        <v>0.09039999999999999</v>
      </c>
      <c r="N11" s="51" t="n">
        <v>0.1603</v>
      </c>
      <c r="O11" s="51" t="n">
        <v>0.1268</v>
      </c>
      <c r="P11" s="51" t="n">
        <v>0.2243</v>
      </c>
      <c r="Q11" s="51" t="n">
        <v>0.3574</v>
      </c>
      <c r="R11" s="51" t="n">
        <v>0.5089</v>
      </c>
      <c r="S11" s="51" t="n">
        <v>0.6721</v>
      </c>
      <c r="T11" s="51" t="n">
        <v>0.8386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0.0565</v>
      </c>
      <c r="M12" s="51" t="n">
        <v>0.1149</v>
      </c>
      <c r="N12" s="51" t="n">
        <v>0.0914</v>
      </c>
      <c r="O12" s="51" t="n">
        <v>0.1303</v>
      </c>
      <c r="P12" s="51" t="n">
        <v>0.229</v>
      </c>
      <c r="Q12" s="51" t="n">
        <v>0.3608</v>
      </c>
      <c r="R12" s="51" t="n">
        <v>0.5108</v>
      </c>
      <c r="S12" s="51" t="n">
        <v>0.673</v>
      </c>
      <c r="T12" s="51" t="n">
        <v>0.8393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0.0723</v>
      </c>
      <c r="M13" s="51" t="n">
        <v>0.1444</v>
      </c>
      <c r="N13" s="51" t="n">
        <v>0.09030000000000001</v>
      </c>
      <c r="O13" s="51" t="n">
        <v>0.1332</v>
      </c>
      <c r="P13" s="51" t="n">
        <v>0.2329</v>
      </c>
      <c r="Q13" s="51" t="n">
        <v>0.3636</v>
      </c>
      <c r="R13" s="51" t="n">
        <v>0.5123</v>
      </c>
      <c r="S13" s="51" t="n">
        <v>0.6738</v>
      </c>
      <c r="T13" s="51" t="n">
        <v>0.84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0.0921</v>
      </c>
      <c r="M14" s="51" t="n">
        <v>0.1791</v>
      </c>
      <c r="N14" s="51" t="n">
        <v>0.0885</v>
      </c>
      <c r="O14" s="51" t="n">
        <v>0.1358</v>
      </c>
      <c r="P14" s="51" t="n">
        <v>0.2363</v>
      </c>
      <c r="Q14" s="51" t="n">
        <v>0.3659</v>
      </c>
      <c r="R14" s="51" t="n">
        <v>0.5135999999999999</v>
      </c>
      <c r="S14" s="51" t="n">
        <v>0.6744</v>
      </c>
      <c r="T14" s="51" t="n">
        <v>0.8407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0.1162</v>
      </c>
      <c r="M15" s="51" t="n">
        <v>0.2197</v>
      </c>
      <c r="N15" s="51" t="n">
        <v>0.0863</v>
      </c>
      <c r="O15" s="51" t="n">
        <v>0.1381</v>
      </c>
      <c r="P15" s="51" t="n">
        <v>0.2392</v>
      </c>
      <c r="Q15" s="51" t="n">
        <v>0.3678</v>
      </c>
      <c r="R15" s="51" t="n">
        <v>0.5145999999999999</v>
      </c>
      <c r="S15" s="51" t="n">
        <v>0.6749000000000001</v>
      </c>
      <c r="T15" s="51" t="n">
        <v>0.8413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0.1451</v>
      </c>
      <c r="M16" s="51" t="n">
        <v>0.2664</v>
      </c>
      <c r="N16" s="51" t="n">
        <v>0.08409999999999999</v>
      </c>
      <c r="O16" s="51" t="n">
        <v>0.1401</v>
      </c>
      <c r="P16" s="51" t="n">
        <v>0.2416</v>
      </c>
      <c r="Q16" s="51" t="n">
        <v>0.3694</v>
      </c>
      <c r="R16" s="51" t="n">
        <v>0.5155</v>
      </c>
      <c r="S16" s="51" t="n">
        <v>0.6754</v>
      </c>
      <c r="T16" s="51" t="n">
        <v>0.842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0.1793</v>
      </c>
      <c r="M17" s="51" t="n">
        <v>0.09130000000000001</v>
      </c>
      <c r="N17" s="51" t="n">
        <v>0.0822</v>
      </c>
      <c r="O17" s="51" t="n">
        <v>0.1419</v>
      </c>
      <c r="P17" s="51" t="n">
        <v>0.2436</v>
      </c>
      <c r="Q17" s="51" t="n">
        <v>0.3706</v>
      </c>
      <c r="R17" s="51" t="n">
        <v>0.5162</v>
      </c>
      <c r="S17" s="51" t="n">
        <v>0.6757</v>
      </c>
      <c r="T17" s="51" t="n">
        <v>0.8426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0.2192</v>
      </c>
      <c r="M18" s="51" t="n">
        <v>0.0829</v>
      </c>
      <c r="N18" s="51" t="n">
        <v>0.0805</v>
      </c>
      <c r="O18" s="51" t="n">
        <v>0.1435</v>
      </c>
      <c r="P18" s="51" t="n">
        <v>0.2453</v>
      </c>
      <c r="Q18" s="51" t="n">
        <v>0.3717</v>
      </c>
      <c r="R18" s="51" t="n">
        <v>0.5167</v>
      </c>
      <c r="S18" s="51" t="n">
        <v>0.676</v>
      </c>
      <c r="T18" s="51" t="n">
        <v>0.8431999999999999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0.2652</v>
      </c>
      <c r="M19" s="51" t="n">
        <v>0.0746</v>
      </c>
      <c r="N19" s="51" t="n">
        <v>0.0793</v>
      </c>
      <c r="O19" s="51" t="n">
        <v>0.145</v>
      </c>
      <c r="P19" s="51" t="n">
        <v>0.2467</v>
      </c>
      <c r="Q19" s="51" t="n">
        <v>0.3726</v>
      </c>
      <c r="R19" s="51" t="n">
        <v>0.5172</v>
      </c>
      <c r="S19" s="51" t="n">
        <v>0.6762</v>
      </c>
      <c r="T19" s="51" t="n">
        <v>0.8438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AWS=10kt   Re=1.66e+06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0.0167</v>
      </c>
      <c r="M4" s="51" t="n">
        <v>0.0167</v>
      </c>
      <c r="N4" s="51" t="n">
        <v>0.0167</v>
      </c>
      <c r="O4" s="51" t="n">
        <v>0.0167</v>
      </c>
      <c r="P4" s="51" t="n">
        <v>0.1568</v>
      </c>
      <c r="Q4" s="51" t="n">
        <v>0.3032</v>
      </c>
      <c r="R4" s="51" t="n">
        <v>0.4751</v>
      </c>
      <c r="S4" s="51" t="n">
        <v>0.6534</v>
      </c>
      <c r="T4" s="51" t="n">
        <v>0.8297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0.0168</v>
      </c>
      <c r="M5" s="51" t="n">
        <v>0.0192</v>
      </c>
      <c r="N5" s="51" t="n">
        <v>0.0249</v>
      </c>
      <c r="O5" s="51" t="n">
        <v>0.0341</v>
      </c>
      <c r="P5" s="51" t="n">
        <v>0.1709</v>
      </c>
      <c r="Q5" s="51" t="n">
        <v>0.3149</v>
      </c>
      <c r="R5" s="51" t="n">
        <v>0.4825</v>
      </c>
      <c r="S5" s="51" t="n">
        <v>0.6573</v>
      </c>
      <c r="T5" s="51" t="n">
        <v>0.8312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0.0173</v>
      </c>
      <c r="M6" s="51" t="n">
        <v>0.0235</v>
      </c>
      <c r="N6" s="51" t="n">
        <v>0.0364</v>
      </c>
      <c r="O6" s="51" t="n">
        <v>0.0561</v>
      </c>
      <c r="P6" s="51" t="n">
        <v>0.183</v>
      </c>
      <c r="Q6" s="51" t="n">
        <v>0.3248</v>
      </c>
      <c r="R6" s="51" t="n">
        <v>0.4886</v>
      </c>
      <c r="S6" s="51" t="n">
        <v>0.6605</v>
      </c>
      <c r="T6" s="51" t="n">
        <v>0.8325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0.0187</v>
      </c>
      <c r="M7" s="51" t="n">
        <v>0.0301</v>
      </c>
      <c r="N7" s="51" t="n">
        <v>0.0516</v>
      </c>
      <c r="O7" s="51" t="n">
        <v>0.1005</v>
      </c>
      <c r="P7" s="51" t="n">
        <v>0.1934</v>
      </c>
      <c r="Q7" s="51" t="n">
        <v>0.3331</v>
      </c>
      <c r="R7" s="51" t="n">
        <v>0.4936</v>
      </c>
      <c r="S7" s="51" t="n">
        <v>0.6631</v>
      </c>
      <c r="T7" s="51" t="n">
        <v>0.8337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0.0214</v>
      </c>
      <c r="M8" s="51" t="n">
        <v>0.0394</v>
      </c>
      <c r="N8" s="51" t="n">
        <v>0.0709</v>
      </c>
      <c r="O8" s="51" t="n">
        <v>0.1085</v>
      </c>
      <c r="P8" s="51" t="n">
        <v>0.2022</v>
      </c>
      <c r="Q8" s="51" t="n">
        <v>0.3401</v>
      </c>
      <c r="R8" s="51" t="n">
        <v>0.4978</v>
      </c>
      <c r="S8" s="51" t="n">
        <v>0.6653</v>
      </c>
      <c r="T8" s="51" t="n">
        <v>0.8347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0.0258</v>
      </c>
      <c r="M9" s="51" t="n">
        <v>0.0518</v>
      </c>
      <c r="N9" s="51" t="n">
        <v>0.09470000000000001</v>
      </c>
      <c r="O9" s="51" t="n">
        <v>0.115</v>
      </c>
      <c r="P9" s="51" t="n">
        <v>0.2098</v>
      </c>
      <c r="Q9" s="51" t="n">
        <v>0.3459</v>
      </c>
      <c r="R9" s="51" t="n">
        <v>0.5012</v>
      </c>
      <c r="S9" s="51" t="n">
        <v>0.667</v>
      </c>
      <c r="T9" s="51" t="n">
        <v>0.8356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0.0324</v>
      </c>
      <c r="M10" s="51" t="n">
        <v>0.0678</v>
      </c>
      <c r="N10" s="51" t="n">
        <v>0.1235</v>
      </c>
      <c r="O10" s="51" t="n">
        <v>0.1201</v>
      </c>
      <c r="P10" s="51" t="n">
        <v>0.2163</v>
      </c>
      <c r="Q10" s="51" t="n">
        <v>0.3508</v>
      </c>
      <c r="R10" s="51" t="n">
        <v>0.5041</v>
      </c>
      <c r="S10" s="51" t="n">
        <v>0.6684</v>
      </c>
      <c r="T10" s="51" t="n">
        <v>0.8365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0.0417</v>
      </c>
      <c r="M11" s="51" t="n">
        <v>0.08790000000000001</v>
      </c>
      <c r="N11" s="51" t="n">
        <v>0.1578</v>
      </c>
      <c r="O11" s="51" t="n">
        <v>0.1243</v>
      </c>
      <c r="P11" s="51" t="n">
        <v>0.2218</v>
      </c>
      <c r="Q11" s="51" t="n">
        <v>0.3549</v>
      </c>
      <c r="R11" s="51" t="n">
        <v>0.5064</v>
      </c>
      <c r="S11" s="51" t="n">
        <v>0.6696</v>
      </c>
      <c r="T11" s="51" t="n">
        <v>0.8373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0.054</v>
      </c>
      <c r="M12" s="51" t="n">
        <v>0.1124</v>
      </c>
      <c r="N12" s="51" t="n">
        <v>0.08890000000000001</v>
      </c>
      <c r="O12" s="51" t="n">
        <v>0.1278</v>
      </c>
      <c r="P12" s="51" t="n">
        <v>0.2265</v>
      </c>
      <c r="Q12" s="51" t="n">
        <v>0.3583</v>
      </c>
      <c r="R12" s="51" t="n">
        <v>0.5083</v>
      </c>
      <c r="S12" s="51" t="n">
        <v>0.6705</v>
      </c>
      <c r="T12" s="51" t="n">
        <v>0.8381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0.0698</v>
      </c>
      <c r="M13" s="51" t="n">
        <v>0.1419</v>
      </c>
      <c r="N13" s="51" t="n">
        <v>0.0878</v>
      </c>
      <c r="O13" s="51" t="n">
        <v>0.1308</v>
      </c>
      <c r="P13" s="51" t="n">
        <v>0.2305</v>
      </c>
      <c r="Q13" s="51" t="n">
        <v>0.3611</v>
      </c>
      <c r="R13" s="51" t="n">
        <v>0.5098</v>
      </c>
      <c r="S13" s="51" t="n">
        <v>0.6713</v>
      </c>
      <c r="T13" s="51" t="n">
        <v>0.8388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0.0896</v>
      </c>
      <c r="M14" s="51" t="n">
        <v>0.1767</v>
      </c>
      <c r="N14" s="51" t="n">
        <v>0.08599999999999999</v>
      </c>
      <c r="O14" s="51" t="n">
        <v>0.1333</v>
      </c>
      <c r="P14" s="51" t="n">
        <v>0.2338</v>
      </c>
      <c r="Q14" s="51" t="n">
        <v>0.3634</v>
      </c>
      <c r="R14" s="51" t="n">
        <v>0.5111</v>
      </c>
      <c r="S14" s="51" t="n">
        <v>0.6719000000000001</v>
      </c>
      <c r="T14" s="51" t="n">
        <v>0.8395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0.1137</v>
      </c>
      <c r="M15" s="51" t="n">
        <v>0.2172</v>
      </c>
      <c r="N15" s="51" t="n">
        <v>0.0838</v>
      </c>
      <c r="O15" s="51" t="n">
        <v>0.1356</v>
      </c>
      <c r="P15" s="51" t="n">
        <v>0.2367</v>
      </c>
      <c r="Q15" s="51" t="n">
        <v>0.3653</v>
      </c>
      <c r="R15" s="51" t="n">
        <v>0.5121</v>
      </c>
      <c r="S15" s="51" t="n">
        <v>0.6725</v>
      </c>
      <c r="T15" s="51" t="n">
        <v>0.8401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0.1426</v>
      </c>
      <c r="M16" s="51" t="n">
        <v>0.264</v>
      </c>
      <c r="N16" s="51" t="n">
        <v>0.08169999999999999</v>
      </c>
      <c r="O16" s="51" t="n">
        <v>0.1376</v>
      </c>
      <c r="P16" s="51" t="n">
        <v>0.2391</v>
      </c>
      <c r="Q16" s="51" t="n">
        <v>0.3669</v>
      </c>
      <c r="R16" s="51" t="n">
        <v>0.513</v>
      </c>
      <c r="S16" s="51" t="n">
        <v>0.6729000000000001</v>
      </c>
      <c r="T16" s="51" t="n">
        <v>0.8407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0.1768</v>
      </c>
      <c r="M17" s="51" t="n">
        <v>0.08890000000000001</v>
      </c>
      <c r="N17" s="51" t="n">
        <v>0.07969999999999999</v>
      </c>
      <c r="O17" s="51" t="n">
        <v>0.1394</v>
      </c>
      <c r="P17" s="51" t="n">
        <v>0.2411</v>
      </c>
      <c r="Q17" s="51" t="n">
        <v>0.3682</v>
      </c>
      <c r="R17" s="51" t="n">
        <v>0.5137</v>
      </c>
      <c r="S17" s="51" t="n">
        <v>0.6732</v>
      </c>
      <c r="T17" s="51" t="n">
        <v>0.8413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0.2167</v>
      </c>
      <c r="M18" s="51" t="n">
        <v>0.0804</v>
      </c>
      <c r="N18" s="51" t="n">
        <v>0.078</v>
      </c>
      <c r="O18" s="51" t="n">
        <v>0.1411</v>
      </c>
      <c r="P18" s="51" t="n">
        <v>0.2428</v>
      </c>
      <c r="Q18" s="51" t="n">
        <v>0.3692</v>
      </c>
      <c r="R18" s="51" t="n">
        <v>0.5142</v>
      </c>
      <c r="S18" s="51" t="n">
        <v>0.6735</v>
      </c>
      <c r="T18" s="51" t="n">
        <v>0.8419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0.2627</v>
      </c>
      <c r="M19" s="51" t="n">
        <v>0.0721</v>
      </c>
      <c r="N19" s="51" t="n">
        <v>0.07679999999999999</v>
      </c>
      <c r="O19" s="51" t="n">
        <v>0.1425</v>
      </c>
      <c r="P19" s="51" t="n">
        <v>0.2442</v>
      </c>
      <c r="Q19" s="51" t="n">
        <v>0.3701</v>
      </c>
      <c r="R19" s="51" t="n">
        <v>0.5147</v>
      </c>
      <c r="S19" s="51" t="n">
        <v>0.6737</v>
      </c>
      <c r="T19" s="51" t="n">
        <v>0.8425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AWS=15kt   Re=2.49e+06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0.0154</v>
      </c>
      <c r="M4" s="51" t="n">
        <v>0.0154</v>
      </c>
      <c r="N4" s="51" t="n">
        <v>0.0154</v>
      </c>
      <c r="O4" s="51" t="n">
        <v>0.0154</v>
      </c>
      <c r="P4" s="51" t="n">
        <v>0.1555</v>
      </c>
      <c r="Q4" s="51" t="n">
        <v>0.3019</v>
      </c>
      <c r="R4" s="51" t="n">
        <v>0.4738</v>
      </c>
      <c r="S4" s="51" t="n">
        <v>0.6521</v>
      </c>
      <c r="T4" s="51" t="n">
        <v>0.829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0.0155</v>
      </c>
      <c r="M5" s="51" t="n">
        <v>0.0179</v>
      </c>
      <c r="N5" s="51" t="n">
        <v>0.0236</v>
      </c>
      <c r="O5" s="51" t="n">
        <v>0.0328</v>
      </c>
      <c r="P5" s="51" t="n">
        <v>0.1696</v>
      </c>
      <c r="Q5" s="51" t="n">
        <v>0.3136</v>
      </c>
      <c r="R5" s="51" t="n">
        <v>0.4812</v>
      </c>
      <c r="S5" s="51" t="n">
        <v>0.656</v>
      </c>
      <c r="T5" s="51" t="n">
        <v>0.8305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0.016</v>
      </c>
      <c r="M6" s="51" t="n">
        <v>0.0222</v>
      </c>
      <c r="N6" s="51" t="n">
        <v>0.0351</v>
      </c>
      <c r="O6" s="51" t="n">
        <v>0.0548</v>
      </c>
      <c r="P6" s="51" t="n">
        <v>0.1817</v>
      </c>
      <c r="Q6" s="51" t="n">
        <v>0.3235</v>
      </c>
      <c r="R6" s="51" t="n">
        <v>0.4873</v>
      </c>
      <c r="S6" s="51" t="n">
        <v>0.6592</v>
      </c>
      <c r="T6" s="51" t="n">
        <v>0.8318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0.0174</v>
      </c>
      <c r="M7" s="51" t="n">
        <v>0.0288</v>
      </c>
      <c r="N7" s="51" t="n">
        <v>0.0503</v>
      </c>
      <c r="O7" s="51" t="n">
        <v>0.0992</v>
      </c>
      <c r="P7" s="51" t="n">
        <v>0.1921</v>
      </c>
      <c r="Q7" s="51" t="n">
        <v>0.3318</v>
      </c>
      <c r="R7" s="51" t="n">
        <v>0.4923</v>
      </c>
      <c r="S7" s="51" t="n">
        <v>0.6618000000000001</v>
      </c>
      <c r="T7" s="51" t="n">
        <v>0.833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0.0201</v>
      </c>
      <c r="M8" s="51" t="n">
        <v>0.0381</v>
      </c>
      <c r="N8" s="51" t="n">
        <v>0.0696</v>
      </c>
      <c r="O8" s="51" t="n">
        <v>0.1072</v>
      </c>
      <c r="P8" s="51" t="n">
        <v>0.2009</v>
      </c>
      <c r="Q8" s="51" t="n">
        <v>0.3388</v>
      </c>
      <c r="R8" s="51" t="n">
        <v>0.4965</v>
      </c>
      <c r="S8" s="51" t="n">
        <v>0.664</v>
      </c>
      <c r="T8" s="51" t="n">
        <v>0.834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0.0245</v>
      </c>
      <c r="M9" s="51" t="n">
        <v>0.0505</v>
      </c>
      <c r="N9" s="51" t="n">
        <v>0.0934</v>
      </c>
      <c r="O9" s="51" t="n">
        <v>0.1137</v>
      </c>
      <c r="P9" s="51" t="n">
        <v>0.2085</v>
      </c>
      <c r="Q9" s="51" t="n">
        <v>0.3446</v>
      </c>
      <c r="R9" s="51" t="n">
        <v>0.4999</v>
      </c>
      <c r="S9" s="51" t="n">
        <v>0.6657</v>
      </c>
      <c r="T9" s="51" t="n">
        <v>0.835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0.0311</v>
      </c>
      <c r="M10" s="51" t="n">
        <v>0.0665</v>
      </c>
      <c r="N10" s="51" t="n">
        <v>0.1222</v>
      </c>
      <c r="O10" s="51" t="n">
        <v>0.1188</v>
      </c>
      <c r="P10" s="51" t="n">
        <v>0.215</v>
      </c>
      <c r="Q10" s="51" t="n">
        <v>0.3495</v>
      </c>
      <c r="R10" s="51" t="n">
        <v>0.5028</v>
      </c>
      <c r="S10" s="51" t="n">
        <v>0.6671</v>
      </c>
      <c r="T10" s="51" t="n">
        <v>0.8359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0.0404</v>
      </c>
      <c r="M11" s="51" t="n">
        <v>0.0866</v>
      </c>
      <c r="N11" s="51" t="n">
        <v>0.1565</v>
      </c>
      <c r="O11" s="51" t="n">
        <v>0.123</v>
      </c>
      <c r="P11" s="51" t="n">
        <v>0.2205</v>
      </c>
      <c r="Q11" s="51" t="n">
        <v>0.3536</v>
      </c>
      <c r="R11" s="51" t="n">
        <v>0.5051</v>
      </c>
      <c r="S11" s="51" t="n">
        <v>0.6683</v>
      </c>
      <c r="T11" s="51" t="n">
        <v>0.8367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0.0527</v>
      </c>
      <c r="M12" s="51" t="n">
        <v>0.1111</v>
      </c>
      <c r="N12" s="51" t="n">
        <v>0.0876</v>
      </c>
      <c r="O12" s="51" t="n">
        <v>0.1265</v>
      </c>
      <c r="P12" s="51" t="n">
        <v>0.2252</v>
      </c>
      <c r="Q12" s="51" t="n">
        <v>0.357</v>
      </c>
      <c r="R12" s="51" t="n">
        <v>0.507</v>
      </c>
      <c r="S12" s="51" t="n">
        <v>0.6692</v>
      </c>
      <c r="T12" s="51" t="n">
        <v>0.8374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0.06850000000000001</v>
      </c>
      <c r="M13" s="51" t="n">
        <v>0.1406</v>
      </c>
      <c r="N13" s="51" t="n">
        <v>0.08649999999999999</v>
      </c>
      <c r="O13" s="51" t="n">
        <v>0.1295</v>
      </c>
      <c r="P13" s="51" t="n">
        <v>0.2292</v>
      </c>
      <c r="Q13" s="51" t="n">
        <v>0.3598</v>
      </c>
      <c r="R13" s="51" t="n">
        <v>0.5085</v>
      </c>
      <c r="S13" s="51" t="n">
        <v>0.67</v>
      </c>
      <c r="T13" s="51" t="n">
        <v>0.8381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0.0883</v>
      </c>
      <c r="M14" s="51" t="n">
        <v>0.1754</v>
      </c>
      <c r="N14" s="51" t="n">
        <v>0.0847</v>
      </c>
      <c r="O14" s="51" t="n">
        <v>0.132</v>
      </c>
      <c r="P14" s="51" t="n">
        <v>0.2325</v>
      </c>
      <c r="Q14" s="51" t="n">
        <v>0.3621</v>
      </c>
      <c r="R14" s="51" t="n">
        <v>0.5098</v>
      </c>
      <c r="S14" s="51" t="n">
        <v>0.6706</v>
      </c>
      <c r="T14" s="51" t="n">
        <v>0.8388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0.1124</v>
      </c>
      <c r="M15" s="51" t="n">
        <v>0.2159</v>
      </c>
      <c r="N15" s="51" t="n">
        <v>0.0825</v>
      </c>
      <c r="O15" s="51" t="n">
        <v>0.1343</v>
      </c>
      <c r="P15" s="51" t="n">
        <v>0.2354</v>
      </c>
      <c r="Q15" s="51" t="n">
        <v>0.364</v>
      </c>
      <c r="R15" s="51" t="n">
        <v>0.5108</v>
      </c>
      <c r="S15" s="51" t="n">
        <v>0.6712</v>
      </c>
      <c r="T15" s="51" t="n">
        <v>0.8395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0.1413</v>
      </c>
      <c r="M16" s="51" t="n">
        <v>0.2627</v>
      </c>
      <c r="N16" s="51" t="n">
        <v>0.0804</v>
      </c>
      <c r="O16" s="51" t="n">
        <v>0.1363</v>
      </c>
      <c r="P16" s="51" t="n">
        <v>0.2378</v>
      </c>
      <c r="Q16" s="51" t="n">
        <v>0.3656</v>
      </c>
      <c r="R16" s="51" t="n">
        <v>0.5117</v>
      </c>
      <c r="S16" s="51" t="n">
        <v>0.6716</v>
      </c>
      <c r="T16" s="51" t="n">
        <v>0.8401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0.1755</v>
      </c>
      <c r="M17" s="51" t="n">
        <v>0.0876</v>
      </c>
      <c r="N17" s="51" t="n">
        <v>0.0784</v>
      </c>
      <c r="O17" s="51" t="n">
        <v>0.1381</v>
      </c>
      <c r="P17" s="51" t="n">
        <v>0.2398</v>
      </c>
      <c r="Q17" s="51" t="n">
        <v>0.3669</v>
      </c>
      <c r="R17" s="51" t="n">
        <v>0.5124</v>
      </c>
      <c r="S17" s="51" t="n">
        <v>0.6719000000000001</v>
      </c>
      <c r="T17" s="51" t="n">
        <v>0.8407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0.2154</v>
      </c>
      <c r="M18" s="51" t="n">
        <v>0.0791</v>
      </c>
      <c r="N18" s="51" t="n">
        <v>0.0767</v>
      </c>
      <c r="O18" s="51" t="n">
        <v>0.1398</v>
      </c>
      <c r="P18" s="51" t="n">
        <v>0.2415</v>
      </c>
      <c r="Q18" s="51" t="n">
        <v>0.3679</v>
      </c>
      <c r="R18" s="51" t="n">
        <v>0.5129</v>
      </c>
      <c r="S18" s="51" t="n">
        <v>0.6722</v>
      </c>
      <c r="T18" s="51" t="n">
        <v>0.8413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0.2614</v>
      </c>
      <c r="M19" s="51" t="n">
        <v>0.0708</v>
      </c>
      <c r="N19" s="51" t="n">
        <v>0.0755</v>
      </c>
      <c r="O19" s="51" t="n">
        <v>0.1412</v>
      </c>
      <c r="P19" s="51" t="n">
        <v>0.2429</v>
      </c>
      <c r="Q19" s="51" t="n">
        <v>0.3688</v>
      </c>
      <c r="R19" s="51" t="n">
        <v>0.5134</v>
      </c>
      <c r="S19" s="51" t="n">
        <v>0.6724</v>
      </c>
      <c r="T19" s="51" t="n">
        <v>0.8419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AWS=20kt   Re=3.31e+06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0.0145</v>
      </c>
      <c r="M4" s="51" t="n">
        <v>0.0145</v>
      </c>
      <c r="N4" s="51" t="n">
        <v>0.0145</v>
      </c>
      <c r="O4" s="51" t="n">
        <v>0.0146</v>
      </c>
      <c r="P4" s="51" t="n">
        <v>0.1546</v>
      </c>
      <c r="Q4" s="51" t="n">
        <v>0.3011</v>
      </c>
      <c r="R4" s="51" t="n">
        <v>0.4729</v>
      </c>
      <c r="S4" s="51" t="n">
        <v>0.6513</v>
      </c>
      <c r="T4" s="51" t="n">
        <v>0.8286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0.0146</v>
      </c>
      <c r="M5" s="51" t="n">
        <v>0.017</v>
      </c>
      <c r="N5" s="51" t="n">
        <v>0.0228</v>
      </c>
      <c r="O5" s="51" t="n">
        <v>0.0319</v>
      </c>
      <c r="P5" s="51" t="n">
        <v>0.1687</v>
      </c>
      <c r="Q5" s="51" t="n">
        <v>0.3127</v>
      </c>
      <c r="R5" s="51" t="n">
        <v>0.4803</v>
      </c>
      <c r="S5" s="51" t="n">
        <v>0.6552</v>
      </c>
      <c r="T5" s="51" t="n">
        <v>0.8300999999999999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0.0151</v>
      </c>
      <c r="M6" s="51" t="n">
        <v>0.0213</v>
      </c>
      <c r="N6" s="51" t="n">
        <v>0.0343</v>
      </c>
      <c r="O6" s="51" t="n">
        <v>0.054</v>
      </c>
      <c r="P6" s="51" t="n">
        <v>0.1809</v>
      </c>
      <c r="Q6" s="51" t="n">
        <v>0.3226</v>
      </c>
      <c r="R6" s="51" t="n">
        <v>0.4864</v>
      </c>
      <c r="S6" s="51" t="n">
        <v>0.6584</v>
      </c>
      <c r="T6" s="51" t="n">
        <v>0.8314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0.0165</v>
      </c>
      <c r="M7" s="51" t="n">
        <v>0.0279</v>
      </c>
      <c r="N7" s="51" t="n">
        <v>0.0494</v>
      </c>
      <c r="O7" s="51" t="n">
        <v>0.0983</v>
      </c>
      <c r="P7" s="51" t="n">
        <v>0.1912</v>
      </c>
      <c r="Q7" s="51" t="n">
        <v>0.3309</v>
      </c>
      <c r="R7" s="51" t="n">
        <v>0.4915</v>
      </c>
      <c r="S7" s="51" t="n">
        <v>0.661</v>
      </c>
      <c r="T7" s="51" t="n">
        <v>0.8326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0.0192</v>
      </c>
      <c r="M8" s="51" t="n">
        <v>0.0372</v>
      </c>
      <c r="N8" s="51" t="n">
        <v>0.0687</v>
      </c>
      <c r="O8" s="51" t="n">
        <v>0.1064</v>
      </c>
      <c r="P8" s="51" t="n">
        <v>0.2001</v>
      </c>
      <c r="Q8" s="51" t="n">
        <v>0.3379</v>
      </c>
      <c r="R8" s="51" t="n">
        <v>0.4957</v>
      </c>
      <c r="S8" s="51" t="n">
        <v>0.6631</v>
      </c>
      <c r="T8" s="51" t="n">
        <v>0.8336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0.0236</v>
      </c>
      <c r="M9" s="51" t="n">
        <v>0.0496</v>
      </c>
      <c r="N9" s="51" t="n">
        <v>0.0925</v>
      </c>
      <c r="O9" s="51" t="n">
        <v>0.1128</v>
      </c>
      <c r="P9" s="51" t="n">
        <v>0.2077</v>
      </c>
      <c r="Q9" s="51" t="n">
        <v>0.3438</v>
      </c>
      <c r="R9" s="51" t="n">
        <v>0.4991</v>
      </c>
      <c r="S9" s="51" t="n">
        <v>0.6647999999999999</v>
      </c>
      <c r="T9" s="51" t="n">
        <v>0.8346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0.0303</v>
      </c>
      <c r="M10" s="51" t="n">
        <v>0.06569999999999999</v>
      </c>
      <c r="N10" s="51" t="n">
        <v>0.1214</v>
      </c>
      <c r="O10" s="51" t="n">
        <v>0.118</v>
      </c>
      <c r="P10" s="51" t="n">
        <v>0.2141</v>
      </c>
      <c r="Q10" s="51" t="n">
        <v>0.3487</v>
      </c>
      <c r="R10" s="51" t="n">
        <v>0.5019</v>
      </c>
      <c r="S10" s="51" t="n">
        <v>0.6663</v>
      </c>
      <c r="T10" s="51" t="n">
        <v>0.8354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0.0395</v>
      </c>
      <c r="M11" s="51" t="n">
        <v>0.0858</v>
      </c>
      <c r="N11" s="51" t="n">
        <v>0.1556</v>
      </c>
      <c r="O11" s="51" t="n">
        <v>0.1222</v>
      </c>
      <c r="P11" s="51" t="n">
        <v>0.2196</v>
      </c>
      <c r="Q11" s="51" t="n">
        <v>0.3527</v>
      </c>
      <c r="R11" s="51" t="n">
        <v>0.5042</v>
      </c>
      <c r="S11" s="51" t="n">
        <v>0.6674</v>
      </c>
      <c r="T11" s="51" t="n">
        <v>0.8362000000000001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0.0519</v>
      </c>
      <c r="M12" s="51" t="n">
        <v>0.1103</v>
      </c>
      <c r="N12" s="51" t="n">
        <v>0.0867</v>
      </c>
      <c r="O12" s="51" t="n">
        <v>0.1256</v>
      </c>
      <c r="P12" s="51" t="n">
        <v>0.2243</v>
      </c>
      <c r="Q12" s="51" t="n">
        <v>0.3561</v>
      </c>
      <c r="R12" s="51" t="n">
        <v>0.5061</v>
      </c>
      <c r="S12" s="51" t="n">
        <v>0.6684</v>
      </c>
      <c r="T12" s="51" t="n">
        <v>0.837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0.0677</v>
      </c>
      <c r="M13" s="51" t="n">
        <v>0.1397</v>
      </c>
      <c r="N13" s="51" t="n">
        <v>0.0857</v>
      </c>
      <c r="O13" s="51" t="n">
        <v>0.1286</v>
      </c>
      <c r="P13" s="51" t="n">
        <v>0.2283</v>
      </c>
      <c r="Q13" s="51" t="n">
        <v>0.3589</v>
      </c>
      <c r="R13" s="51" t="n">
        <v>0.5077</v>
      </c>
      <c r="S13" s="51" t="n">
        <v>0.6692</v>
      </c>
      <c r="T13" s="51" t="n">
        <v>0.8377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0.08740000000000001</v>
      </c>
      <c r="M14" s="51" t="n">
        <v>0.1745</v>
      </c>
      <c r="N14" s="51" t="n">
        <v>0.0838</v>
      </c>
      <c r="O14" s="51" t="n">
        <v>0.1312</v>
      </c>
      <c r="P14" s="51" t="n">
        <v>0.2317</v>
      </c>
      <c r="Q14" s="51" t="n">
        <v>0.3612</v>
      </c>
      <c r="R14" s="51" t="n">
        <v>0.5089</v>
      </c>
      <c r="S14" s="51" t="n">
        <v>0.6698</v>
      </c>
      <c r="T14" s="51" t="n">
        <v>0.8384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0.1115</v>
      </c>
      <c r="M15" s="51" t="n">
        <v>0.215</v>
      </c>
      <c r="N15" s="51" t="n">
        <v>0.08169999999999999</v>
      </c>
      <c r="O15" s="51" t="n">
        <v>0.1334</v>
      </c>
      <c r="P15" s="51" t="n">
        <v>0.2345</v>
      </c>
      <c r="Q15" s="51" t="n">
        <v>0.3631</v>
      </c>
      <c r="R15" s="51" t="n">
        <v>0.51</v>
      </c>
      <c r="S15" s="51" t="n">
        <v>0.6703</v>
      </c>
      <c r="T15" s="51" t="n">
        <v>0.839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0.1405</v>
      </c>
      <c r="M16" s="51" t="n">
        <v>0.2618</v>
      </c>
      <c r="N16" s="51" t="n">
        <v>0.0795</v>
      </c>
      <c r="O16" s="51" t="n">
        <v>0.1355</v>
      </c>
      <c r="P16" s="51" t="n">
        <v>0.2369</v>
      </c>
      <c r="Q16" s="51" t="n">
        <v>0.3647</v>
      </c>
      <c r="R16" s="51" t="n">
        <v>0.5108</v>
      </c>
      <c r="S16" s="51" t="n">
        <v>0.6707</v>
      </c>
      <c r="T16" s="51" t="n">
        <v>0.8396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0.1747</v>
      </c>
      <c r="M17" s="51" t="n">
        <v>0.0867</v>
      </c>
      <c r="N17" s="51" t="n">
        <v>0.0775</v>
      </c>
      <c r="O17" s="51" t="n">
        <v>0.1373</v>
      </c>
      <c r="P17" s="51" t="n">
        <v>0.2389</v>
      </c>
      <c r="Q17" s="51" t="n">
        <v>0.366</v>
      </c>
      <c r="R17" s="51" t="n">
        <v>0.5115</v>
      </c>
      <c r="S17" s="51" t="n">
        <v>0.671</v>
      </c>
      <c r="T17" s="51" t="n">
        <v>0.8403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0.2145</v>
      </c>
      <c r="M18" s="51" t="n">
        <v>0.07829999999999999</v>
      </c>
      <c r="N18" s="51" t="n">
        <v>0.0759</v>
      </c>
      <c r="O18" s="51" t="n">
        <v>0.1389</v>
      </c>
      <c r="P18" s="51" t="n">
        <v>0.2406</v>
      </c>
      <c r="Q18" s="51" t="n">
        <v>0.3671</v>
      </c>
      <c r="R18" s="51" t="n">
        <v>0.5121</v>
      </c>
      <c r="S18" s="51" t="n">
        <v>0.6713</v>
      </c>
      <c r="T18" s="51" t="n">
        <v>0.8409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0.2605</v>
      </c>
      <c r="M19" s="51" t="n">
        <v>0.0699</v>
      </c>
      <c r="N19" s="51" t="n">
        <v>0.0746</v>
      </c>
      <c r="O19" s="51" t="n">
        <v>0.1403</v>
      </c>
      <c r="P19" s="51" t="n">
        <v>0.242</v>
      </c>
      <c r="Q19" s="51" t="n">
        <v>0.3679</v>
      </c>
      <c r="R19" s="51" t="n">
        <v>0.5125</v>
      </c>
      <c r="S19" s="51" t="n">
        <v>0.6715</v>
      </c>
      <c r="T19" s="51" t="n">
        <v>0.8414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AWS=25kt   Re=4.14e+06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0.0139</v>
      </c>
      <c r="M4" s="51" t="n">
        <v>0.0139</v>
      </c>
      <c r="N4" s="51" t="n">
        <v>0.0139</v>
      </c>
      <c r="O4" s="51" t="n">
        <v>0.0139</v>
      </c>
      <c r="P4" s="51" t="n">
        <v>0.154</v>
      </c>
      <c r="Q4" s="51" t="n">
        <v>0.3005</v>
      </c>
      <c r="R4" s="51" t="n">
        <v>0.4723</v>
      </c>
      <c r="S4" s="51" t="n">
        <v>0.6506</v>
      </c>
      <c r="T4" s="51" t="n">
        <v>0.8283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0.014</v>
      </c>
      <c r="M5" s="51" t="n">
        <v>0.0164</v>
      </c>
      <c r="N5" s="51" t="n">
        <v>0.0221</v>
      </c>
      <c r="O5" s="51" t="n">
        <v>0.0313</v>
      </c>
      <c r="P5" s="51" t="n">
        <v>0.1681</v>
      </c>
      <c r="Q5" s="51" t="n">
        <v>0.3121</v>
      </c>
      <c r="R5" s="51" t="n">
        <v>0.4797</v>
      </c>
      <c r="S5" s="51" t="n">
        <v>0.6545</v>
      </c>
      <c r="T5" s="51" t="n">
        <v>0.8298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0.0145</v>
      </c>
      <c r="M6" s="51" t="n">
        <v>0.0207</v>
      </c>
      <c r="N6" s="51" t="n">
        <v>0.0336</v>
      </c>
      <c r="O6" s="51" t="n">
        <v>0.0533</v>
      </c>
      <c r="P6" s="51" t="n">
        <v>0.1802</v>
      </c>
      <c r="Q6" s="51" t="n">
        <v>0.322</v>
      </c>
      <c r="R6" s="51" t="n">
        <v>0.4858</v>
      </c>
      <c r="S6" s="51" t="n">
        <v>0.6577</v>
      </c>
      <c r="T6" s="51" t="n">
        <v>0.8310999999999999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0.0159</v>
      </c>
      <c r="M7" s="51" t="n">
        <v>0.0273</v>
      </c>
      <c r="N7" s="51" t="n">
        <v>0.0488</v>
      </c>
      <c r="O7" s="51" t="n">
        <v>0.0977</v>
      </c>
      <c r="P7" s="51" t="n">
        <v>0.1906</v>
      </c>
      <c r="Q7" s="51" t="n">
        <v>0.3303</v>
      </c>
      <c r="R7" s="51" t="n">
        <v>0.4908</v>
      </c>
      <c r="S7" s="51" t="n">
        <v>0.6603</v>
      </c>
      <c r="T7" s="51" t="n">
        <v>0.8323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0.0186</v>
      </c>
      <c r="M8" s="51" t="n">
        <v>0.0366</v>
      </c>
      <c r="N8" s="51" t="n">
        <v>0.06809999999999999</v>
      </c>
      <c r="O8" s="51" t="n">
        <v>0.1057</v>
      </c>
      <c r="P8" s="51" t="n">
        <v>0.1995</v>
      </c>
      <c r="Q8" s="51" t="n">
        <v>0.3373</v>
      </c>
      <c r="R8" s="51" t="n">
        <v>0.495</v>
      </c>
      <c r="S8" s="51" t="n">
        <v>0.6625</v>
      </c>
      <c r="T8" s="51" t="n">
        <v>0.8333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0.023</v>
      </c>
      <c r="M9" s="51" t="n">
        <v>0.049</v>
      </c>
      <c r="N9" s="51" t="n">
        <v>0.0919</v>
      </c>
      <c r="O9" s="51" t="n">
        <v>0.1122</v>
      </c>
      <c r="P9" s="51" t="n">
        <v>0.207</v>
      </c>
      <c r="Q9" s="51" t="n">
        <v>0.3431</v>
      </c>
      <c r="R9" s="51" t="n">
        <v>0.4985</v>
      </c>
      <c r="S9" s="51" t="n">
        <v>0.6642</v>
      </c>
      <c r="T9" s="51" t="n">
        <v>0.8342000000000001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0.0296</v>
      </c>
      <c r="M10" s="51" t="n">
        <v>0.065</v>
      </c>
      <c r="N10" s="51" t="n">
        <v>0.1207</v>
      </c>
      <c r="O10" s="51" t="n">
        <v>0.1173</v>
      </c>
      <c r="P10" s="51" t="n">
        <v>0.2135</v>
      </c>
      <c r="Q10" s="51" t="n">
        <v>0.348</v>
      </c>
      <c r="R10" s="51" t="n">
        <v>0.5013</v>
      </c>
      <c r="S10" s="51" t="n">
        <v>0.6656</v>
      </c>
      <c r="T10" s="51" t="n">
        <v>0.8351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0.0389</v>
      </c>
      <c r="M11" s="51" t="n">
        <v>0.0851</v>
      </c>
      <c r="N11" s="51" t="n">
        <v>0.155</v>
      </c>
      <c r="O11" s="51" t="n">
        <v>0.1215</v>
      </c>
      <c r="P11" s="51" t="n">
        <v>0.219</v>
      </c>
      <c r="Q11" s="51" t="n">
        <v>0.3521</v>
      </c>
      <c r="R11" s="51" t="n">
        <v>0.5036</v>
      </c>
      <c r="S11" s="51" t="n">
        <v>0.6667999999999999</v>
      </c>
      <c r="T11" s="51" t="n">
        <v>0.8359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0.0512</v>
      </c>
      <c r="M12" s="51" t="n">
        <v>0.1096</v>
      </c>
      <c r="N12" s="51" t="n">
        <v>0.0861</v>
      </c>
      <c r="O12" s="51" t="n">
        <v>0.125</v>
      </c>
      <c r="P12" s="51" t="n">
        <v>0.2237</v>
      </c>
      <c r="Q12" s="51" t="n">
        <v>0.3555</v>
      </c>
      <c r="R12" s="51" t="n">
        <v>0.5054999999999999</v>
      </c>
      <c r="S12" s="51" t="n">
        <v>0.6677</v>
      </c>
      <c r="T12" s="51" t="n">
        <v>0.8367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0.067</v>
      </c>
      <c r="M13" s="51" t="n">
        <v>0.1391</v>
      </c>
      <c r="N13" s="51" t="n">
        <v>0.08500000000000001</v>
      </c>
      <c r="O13" s="51" t="n">
        <v>0.128</v>
      </c>
      <c r="P13" s="51" t="n">
        <v>0.2277</v>
      </c>
      <c r="Q13" s="51" t="n">
        <v>0.3583</v>
      </c>
      <c r="R13" s="51" t="n">
        <v>0.507</v>
      </c>
      <c r="S13" s="51" t="n">
        <v>0.6685</v>
      </c>
      <c r="T13" s="51" t="n">
        <v>0.8374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0.0868</v>
      </c>
      <c r="M14" s="51" t="n">
        <v>0.1739</v>
      </c>
      <c r="N14" s="51" t="n">
        <v>0.0832</v>
      </c>
      <c r="O14" s="51" t="n">
        <v>0.1305</v>
      </c>
      <c r="P14" s="51" t="n">
        <v>0.231</v>
      </c>
      <c r="Q14" s="51" t="n">
        <v>0.3606</v>
      </c>
      <c r="R14" s="51" t="n">
        <v>0.5083</v>
      </c>
      <c r="S14" s="51" t="n">
        <v>0.6691</v>
      </c>
      <c r="T14" s="51" t="n">
        <v>0.8381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0.1109</v>
      </c>
      <c r="M15" s="51" t="n">
        <v>0.2144</v>
      </c>
      <c r="N15" s="51" t="n">
        <v>0.081</v>
      </c>
      <c r="O15" s="51" t="n">
        <v>0.1328</v>
      </c>
      <c r="P15" s="51" t="n">
        <v>0.2339</v>
      </c>
      <c r="Q15" s="51" t="n">
        <v>0.3625</v>
      </c>
      <c r="R15" s="51" t="n">
        <v>0.5093</v>
      </c>
      <c r="S15" s="51" t="n">
        <v>0.6697</v>
      </c>
      <c r="T15" s="51" t="n">
        <v>0.8387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0.1398</v>
      </c>
      <c r="M16" s="51" t="n">
        <v>0.2612</v>
      </c>
      <c r="N16" s="51" t="n">
        <v>0.0789</v>
      </c>
      <c r="O16" s="51" t="n">
        <v>0.1348</v>
      </c>
      <c r="P16" s="51" t="n">
        <v>0.2363</v>
      </c>
      <c r="Q16" s="51" t="n">
        <v>0.3641</v>
      </c>
      <c r="R16" s="51" t="n">
        <v>0.5102</v>
      </c>
      <c r="S16" s="51" t="n">
        <v>0.6701</v>
      </c>
      <c r="T16" s="51" t="n">
        <v>0.8393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0.174</v>
      </c>
      <c r="M17" s="51" t="n">
        <v>0.0861</v>
      </c>
      <c r="N17" s="51" t="n">
        <v>0.0769</v>
      </c>
      <c r="O17" s="51" t="n">
        <v>0.1366</v>
      </c>
      <c r="P17" s="51" t="n">
        <v>0.2383</v>
      </c>
      <c r="Q17" s="51" t="n">
        <v>0.3654</v>
      </c>
      <c r="R17" s="51" t="n">
        <v>0.5109</v>
      </c>
      <c r="S17" s="51" t="n">
        <v>0.6704</v>
      </c>
      <c r="T17" s="51" t="n">
        <v>0.8399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0.2139</v>
      </c>
      <c r="M18" s="51" t="n">
        <v>0.0776</v>
      </c>
      <c r="N18" s="51" t="n">
        <v>0.07530000000000001</v>
      </c>
      <c r="O18" s="51" t="n">
        <v>0.1383</v>
      </c>
      <c r="P18" s="51" t="n">
        <v>0.24</v>
      </c>
      <c r="Q18" s="51" t="n">
        <v>0.3664</v>
      </c>
      <c r="R18" s="51" t="n">
        <v>0.5114</v>
      </c>
      <c r="S18" s="51" t="n">
        <v>0.6707</v>
      </c>
      <c r="T18" s="51" t="n">
        <v>0.8405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0.2599</v>
      </c>
      <c r="M19" s="51" t="n">
        <v>0.0693</v>
      </c>
      <c r="N19" s="51" t="n">
        <v>0.074</v>
      </c>
      <c r="O19" s="51" t="n">
        <v>0.1397</v>
      </c>
      <c r="P19" s="51" t="n">
        <v>0.2414</v>
      </c>
      <c r="Q19" s="51" t="n">
        <v>0.3673</v>
      </c>
      <c r="R19" s="51" t="n">
        <v>0.5119</v>
      </c>
      <c r="S19" s="51" t="n">
        <v>0.6709000000000001</v>
      </c>
      <c r="T19" s="51" t="n">
        <v>0.8411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AWS=30kt   Re=4.97e+06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0.0134</v>
      </c>
      <c r="M4" s="51" t="n">
        <v>0.0134</v>
      </c>
      <c r="N4" s="51" t="n">
        <v>0.0134</v>
      </c>
      <c r="O4" s="51" t="n">
        <v>0.0134</v>
      </c>
      <c r="P4" s="51" t="n">
        <v>0.1535</v>
      </c>
      <c r="Q4" s="51" t="n">
        <v>0.3</v>
      </c>
      <c r="R4" s="51" t="n">
        <v>0.4718</v>
      </c>
      <c r="S4" s="51" t="n">
        <v>0.6501</v>
      </c>
      <c r="T4" s="51" t="n">
        <v>0.828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0.0135</v>
      </c>
      <c r="M5" s="51" t="n">
        <v>0.0159</v>
      </c>
      <c r="N5" s="51" t="n">
        <v>0.0217</v>
      </c>
      <c r="O5" s="51" t="n">
        <v>0.0308</v>
      </c>
      <c r="P5" s="51" t="n">
        <v>0.1676</v>
      </c>
      <c r="Q5" s="51" t="n">
        <v>0.3116</v>
      </c>
      <c r="R5" s="51" t="n">
        <v>0.4792</v>
      </c>
      <c r="S5" s="51" t="n">
        <v>0.654</v>
      </c>
      <c r="T5" s="51" t="n">
        <v>0.8295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0.014</v>
      </c>
      <c r="M6" s="51" t="n">
        <v>0.0202</v>
      </c>
      <c r="N6" s="51" t="n">
        <v>0.0331</v>
      </c>
      <c r="O6" s="51" t="n">
        <v>0.0528</v>
      </c>
      <c r="P6" s="51" t="n">
        <v>0.1797</v>
      </c>
      <c r="Q6" s="51" t="n">
        <v>0.3215</v>
      </c>
      <c r="R6" s="51" t="n">
        <v>0.4853</v>
      </c>
      <c r="S6" s="51" t="n">
        <v>0.6572</v>
      </c>
      <c r="T6" s="51" t="n">
        <v>0.8308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0.0154</v>
      </c>
      <c r="M7" s="51" t="n">
        <v>0.0268</v>
      </c>
      <c r="N7" s="51" t="n">
        <v>0.0483</v>
      </c>
      <c r="O7" s="51" t="n">
        <v>0.09719999999999999</v>
      </c>
      <c r="P7" s="51" t="n">
        <v>0.1901</v>
      </c>
      <c r="Q7" s="51" t="n">
        <v>0.3298</v>
      </c>
      <c r="R7" s="51" t="n">
        <v>0.4904</v>
      </c>
      <c r="S7" s="51" t="n">
        <v>0.6598000000000001</v>
      </c>
      <c r="T7" s="51" t="n">
        <v>0.832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0.0181</v>
      </c>
      <c r="M8" s="51" t="n">
        <v>0.0361</v>
      </c>
      <c r="N8" s="51" t="n">
        <v>0.06759999999999999</v>
      </c>
      <c r="O8" s="51" t="n">
        <v>0.1052</v>
      </c>
      <c r="P8" s="51" t="n">
        <v>0.199</v>
      </c>
      <c r="Q8" s="51" t="n">
        <v>0.3368</v>
      </c>
      <c r="R8" s="51" t="n">
        <v>0.4945</v>
      </c>
      <c r="S8" s="51" t="n">
        <v>0.662</v>
      </c>
      <c r="T8" s="51" t="n">
        <v>0.833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0.0225</v>
      </c>
      <c r="M9" s="51" t="n">
        <v>0.0485</v>
      </c>
      <c r="N9" s="51" t="n">
        <v>0.0914</v>
      </c>
      <c r="O9" s="51" t="n">
        <v>0.1117</v>
      </c>
      <c r="P9" s="51" t="n">
        <v>0.2065</v>
      </c>
      <c r="Q9" s="51" t="n">
        <v>0.3426</v>
      </c>
      <c r="R9" s="51" t="n">
        <v>0.498</v>
      </c>
      <c r="S9" s="51" t="n">
        <v>0.6637</v>
      </c>
      <c r="T9" s="51" t="n">
        <v>0.834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0.0291</v>
      </c>
      <c r="M10" s="51" t="n">
        <v>0.0646</v>
      </c>
      <c r="N10" s="51" t="n">
        <v>0.1202</v>
      </c>
      <c r="O10" s="51" t="n">
        <v>0.1168</v>
      </c>
      <c r="P10" s="51" t="n">
        <v>0.213</v>
      </c>
      <c r="Q10" s="51" t="n">
        <v>0.3475</v>
      </c>
      <c r="R10" s="51" t="n">
        <v>0.5008</v>
      </c>
      <c r="S10" s="51" t="n">
        <v>0.6651</v>
      </c>
      <c r="T10" s="51" t="n">
        <v>0.8349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0.0384</v>
      </c>
      <c r="M11" s="51" t="n">
        <v>0.08459999999999999</v>
      </c>
      <c r="N11" s="51" t="n">
        <v>0.1545</v>
      </c>
      <c r="O11" s="51" t="n">
        <v>0.121</v>
      </c>
      <c r="P11" s="51" t="n">
        <v>0.2185</v>
      </c>
      <c r="Q11" s="51" t="n">
        <v>0.3516</v>
      </c>
      <c r="R11" s="51" t="n">
        <v>0.5031</v>
      </c>
      <c r="S11" s="51" t="n">
        <v>0.6663</v>
      </c>
      <c r="T11" s="51" t="n">
        <v>0.8357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0.0507</v>
      </c>
      <c r="M12" s="51" t="n">
        <v>0.1092</v>
      </c>
      <c r="N12" s="51" t="n">
        <v>0.0856</v>
      </c>
      <c r="O12" s="51" t="n">
        <v>0.1245</v>
      </c>
      <c r="P12" s="51" t="n">
        <v>0.2232</v>
      </c>
      <c r="Q12" s="51" t="n">
        <v>0.355</v>
      </c>
      <c r="R12" s="51" t="n">
        <v>0.505</v>
      </c>
      <c r="S12" s="51" t="n">
        <v>0.6672</v>
      </c>
      <c r="T12" s="51" t="n">
        <v>0.8364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0.0665</v>
      </c>
      <c r="M13" s="51" t="n">
        <v>0.1386</v>
      </c>
      <c r="N13" s="51" t="n">
        <v>0.08450000000000001</v>
      </c>
      <c r="O13" s="51" t="n">
        <v>0.1275</v>
      </c>
      <c r="P13" s="51" t="n">
        <v>0.2272</v>
      </c>
      <c r="Q13" s="51" t="n">
        <v>0.3578</v>
      </c>
      <c r="R13" s="51" t="n">
        <v>0.5065</v>
      </c>
      <c r="S13" s="51" t="n">
        <v>0.668</v>
      </c>
      <c r="T13" s="51" t="n">
        <v>0.8371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0.0863</v>
      </c>
      <c r="M14" s="51" t="n">
        <v>0.1734</v>
      </c>
      <c r="N14" s="51" t="n">
        <v>0.0827</v>
      </c>
      <c r="O14" s="51" t="n">
        <v>0.13</v>
      </c>
      <c r="P14" s="51" t="n">
        <v>0.2305</v>
      </c>
      <c r="Q14" s="51" t="n">
        <v>0.3601</v>
      </c>
      <c r="R14" s="51" t="n">
        <v>0.5078</v>
      </c>
      <c r="S14" s="51" t="n">
        <v>0.6686</v>
      </c>
      <c r="T14" s="51" t="n">
        <v>0.8378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0.1104</v>
      </c>
      <c r="M15" s="51" t="n">
        <v>0.2139</v>
      </c>
      <c r="N15" s="51" t="n">
        <v>0.0805</v>
      </c>
      <c r="O15" s="51" t="n">
        <v>0.1323</v>
      </c>
      <c r="P15" s="51" t="n">
        <v>0.2334</v>
      </c>
      <c r="Q15" s="51" t="n">
        <v>0.362</v>
      </c>
      <c r="R15" s="51" t="n">
        <v>0.5088</v>
      </c>
      <c r="S15" s="51" t="n">
        <v>0.6692</v>
      </c>
      <c r="T15" s="51" t="n">
        <v>0.8385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0.1393</v>
      </c>
      <c r="M16" s="51" t="n">
        <v>0.2607</v>
      </c>
      <c r="N16" s="51" t="n">
        <v>0.0784</v>
      </c>
      <c r="O16" s="51" t="n">
        <v>0.1343</v>
      </c>
      <c r="P16" s="51" t="n">
        <v>0.2358</v>
      </c>
      <c r="Q16" s="51" t="n">
        <v>0.3636</v>
      </c>
      <c r="R16" s="51" t="n">
        <v>0.5097</v>
      </c>
      <c r="S16" s="51" t="n">
        <v>0.6696</v>
      </c>
      <c r="T16" s="51" t="n">
        <v>0.8391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0.1735</v>
      </c>
      <c r="M17" s="51" t="n">
        <v>0.0856</v>
      </c>
      <c r="N17" s="51" t="n">
        <v>0.0764</v>
      </c>
      <c r="O17" s="51" t="n">
        <v>0.1362</v>
      </c>
      <c r="P17" s="51" t="n">
        <v>0.2378</v>
      </c>
      <c r="Q17" s="51" t="n">
        <v>0.3649</v>
      </c>
      <c r="R17" s="51" t="n">
        <v>0.5104</v>
      </c>
      <c r="S17" s="51" t="n">
        <v>0.6699000000000001</v>
      </c>
      <c r="T17" s="51" t="n">
        <v>0.8397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0.2134</v>
      </c>
      <c r="M18" s="51" t="n">
        <v>0.0771</v>
      </c>
      <c r="N18" s="51" t="n">
        <v>0.07480000000000001</v>
      </c>
      <c r="O18" s="51" t="n">
        <v>0.1378</v>
      </c>
      <c r="P18" s="51" t="n">
        <v>0.2395</v>
      </c>
      <c r="Q18" s="51" t="n">
        <v>0.3659</v>
      </c>
      <c r="R18" s="51" t="n">
        <v>0.5109</v>
      </c>
      <c r="S18" s="51" t="n">
        <v>0.6702</v>
      </c>
      <c r="T18" s="51" t="n">
        <v>0.8403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0.2594</v>
      </c>
      <c r="M19" s="51" t="n">
        <v>0.0688</v>
      </c>
      <c r="N19" s="51" t="n">
        <v>0.0735</v>
      </c>
      <c r="O19" s="51" t="n">
        <v>0.1392</v>
      </c>
      <c r="P19" s="51" t="n">
        <v>0.2409</v>
      </c>
      <c r="Q19" s="51" t="n">
        <v>0.3668</v>
      </c>
      <c r="R19" s="51" t="n">
        <v>0.5114</v>
      </c>
      <c r="S19" s="51" t="n">
        <v>0.6704</v>
      </c>
      <c r="T19" s="51" t="n">
        <v>0.8409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AWS=35kt   Re=5.80e+06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0.013</v>
      </c>
      <c r="M4" s="51" t="n">
        <v>0.013</v>
      </c>
      <c r="N4" s="51" t="n">
        <v>0.013</v>
      </c>
      <c r="O4" s="51" t="n">
        <v>0.013</v>
      </c>
      <c r="P4" s="51" t="n">
        <v>0.1531</v>
      </c>
      <c r="Q4" s="51" t="n">
        <v>0.2995</v>
      </c>
      <c r="R4" s="51" t="n">
        <v>0.4714</v>
      </c>
      <c r="S4" s="51" t="n">
        <v>0.6497000000000001</v>
      </c>
      <c r="T4" s="51" t="n">
        <v>0.8278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0.0131</v>
      </c>
      <c r="M5" s="51" t="n">
        <v>0.0155</v>
      </c>
      <c r="N5" s="51" t="n">
        <v>0.0212</v>
      </c>
      <c r="O5" s="51" t="n">
        <v>0.0304</v>
      </c>
      <c r="P5" s="51" t="n">
        <v>0.1672</v>
      </c>
      <c r="Q5" s="51" t="n">
        <v>0.3112</v>
      </c>
      <c r="R5" s="51" t="n">
        <v>0.4788</v>
      </c>
      <c r="S5" s="51" t="n">
        <v>0.6536</v>
      </c>
      <c r="T5" s="51" t="n">
        <v>0.8293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0.0136</v>
      </c>
      <c r="M6" s="51" t="n">
        <v>0.0198</v>
      </c>
      <c r="N6" s="51" t="n">
        <v>0.0327</v>
      </c>
      <c r="O6" s="51" t="n">
        <v>0.0524</v>
      </c>
      <c r="P6" s="51" t="n">
        <v>0.1793</v>
      </c>
      <c r="Q6" s="51" t="n">
        <v>0.3211</v>
      </c>
      <c r="R6" s="51" t="n">
        <v>0.4849</v>
      </c>
      <c r="S6" s="51" t="n">
        <v>0.6568000000000001</v>
      </c>
      <c r="T6" s="51" t="n">
        <v>0.8306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0.015</v>
      </c>
      <c r="M7" s="51" t="n">
        <v>0.0264</v>
      </c>
      <c r="N7" s="51" t="n">
        <v>0.0479</v>
      </c>
      <c r="O7" s="51" t="n">
        <v>0.0968</v>
      </c>
      <c r="P7" s="51" t="n">
        <v>0.1897</v>
      </c>
      <c r="Q7" s="51" t="n">
        <v>0.3294</v>
      </c>
      <c r="R7" s="51" t="n">
        <v>0.4899</v>
      </c>
      <c r="S7" s="51" t="n">
        <v>0.6594</v>
      </c>
      <c r="T7" s="51" t="n">
        <v>0.8318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0.0177</v>
      </c>
      <c r="M8" s="51" t="n">
        <v>0.0357</v>
      </c>
      <c r="N8" s="51" t="n">
        <v>0.0672</v>
      </c>
      <c r="O8" s="51" t="n">
        <v>0.1048</v>
      </c>
      <c r="P8" s="51" t="n">
        <v>0.1985</v>
      </c>
      <c r="Q8" s="51" t="n">
        <v>0.3364</v>
      </c>
      <c r="R8" s="51" t="n">
        <v>0.4941</v>
      </c>
      <c r="S8" s="51" t="n">
        <v>0.6616</v>
      </c>
      <c r="T8" s="51" t="n">
        <v>0.8328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0.0221</v>
      </c>
      <c r="M9" s="51" t="n">
        <v>0.0481</v>
      </c>
      <c r="N9" s="51" t="n">
        <v>0.091</v>
      </c>
      <c r="O9" s="51" t="n">
        <v>0.1113</v>
      </c>
      <c r="P9" s="51" t="n">
        <v>0.2061</v>
      </c>
      <c r="Q9" s="51" t="n">
        <v>0.3422</v>
      </c>
      <c r="R9" s="51" t="n">
        <v>0.4975</v>
      </c>
      <c r="S9" s="51" t="n">
        <v>0.6633</v>
      </c>
      <c r="T9" s="51" t="n">
        <v>0.8338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0.0287</v>
      </c>
      <c r="M10" s="51" t="n">
        <v>0.0641</v>
      </c>
      <c r="N10" s="51" t="n">
        <v>0.1198</v>
      </c>
      <c r="O10" s="51" t="n">
        <v>0.1164</v>
      </c>
      <c r="P10" s="51" t="n">
        <v>0.2126</v>
      </c>
      <c r="Q10" s="51" t="n">
        <v>0.3471</v>
      </c>
      <c r="R10" s="51" t="n">
        <v>0.5004</v>
      </c>
      <c r="S10" s="51" t="n">
        <v>0.6647</v>
      </c>
      <c r="T10" s="51" t="n">
        <v>0.8347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0.038</v>
      </c>
      <c r="M11" s="51" t="n">
        <v>0.0842</v>
      </c>
      <c r="N11" s="51" t="n">
        <v>0.1541</v>
      </c>
      <c r="O11" s="51" t="n">
        <v>0.1206</v>
      </c>
      <c r="P11" s="51" t="n">
        <v>0.2181</v>
      </c>
      <c r="Q11" s="51" t="n">
        <v>0.3512</v>
      </c>
      <c r="R11" s="51" t="n">
        <v>0.5027</v>
      </c>
      <c r="S11" s="51" t="n">
        <v>0.6659</v>
      </c>
      <c r="T11" s="51" t="n">
        <v>0.8355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0.0503</v>
      </c>
      <c r="M12" s="51" t="n">
        <v>0.1087</v>
      </c>
      <c r="N12" s="51" t="n">
        <v>0.0852</v>
      </c>
      <c r="O12" s="51" t="n">
        <v>0.1241</v>
      </c>
      <c r="P12" s="51" t="n">
        <v>0.2228</v>
      </c>
      <c r="Q12" s="51" t="n">
        <v>0.3546</v>
      </c>
      <c r="R12" s="51" t="n">
        <v>0.5046</v>
      </c>
      <c r="S12" s="51" t="n">
        <v>0.6667999999999999</v>
      </c>
      <c r="T12" s="51" t="n">
        <v>0.8362000000000001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0.06610000000000001</v>
      </c>
      <c r="M13" s="51" t="n">
        <v>0.1382</v>
      </c>
      <c r="N13" s="51" t="n">
        <v>0.08409999999999999</v>
      </c>
      <c r="O13" s="51" t="n">
        <v>0.1271</v>
      </c>
      <c r="P13" s="51" t="n">
        <v>0.2268</v>
      </c>
      <c r="Q13" s="51" t="n">
        <v>0.3574</v>
      </c>
      <c r="R13" s="51" t="n">
        <v>0.5061</v>
      </c>
      <c r="S13" s="51" t="n">
        <v>0.6676</v>
      </c>
      <c r="T13" s="51" t="n">
        <v>0.8369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0.0859</v>
      </c>
      <c r="M14" s="51" t="n">
        <v>0.173</v>
      </c>
      <c r="N14" s="51" t="n">
        <v>0.0823</v>
      </c>
      <c r="O14" s="51" t="n">
        <v>0.1296</v>
      </c>
      <c r="P14" s="51" t="n">
        <v>0.2301</v>
      </c>
      <c r="Q14" s="51" t="n">
        <v>0.3597</v>
      </c>
      <c r="R14" s="51" t="n">
        <v>0.5074</v>
      </c>
      <c r="S14" s="51" t="n">
        <v>0.6682</v>
      </c>
      <c r="T14" s="51" t="n">
        <v>0.8376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0.11</v>
      </c>
      <c r="M15" s="51" t="n">
        <v>0.2135</v>
      </c>
      <c r="N15" s="51" t="n">
        <v>0.0801</v>
      </c>
      <c r="O15" s="51" t="n">
        <v>0.1319</v>
      </c>
      <c r="P15" s="51" t="n">
        <v>0.233</v>
      </c>
      <c r="Q15" s="51" t="n">
        <v>0.3616</v>
      </c>
      <c r="R15" s="51" t="n">
        <v>0.5084</v>
      </c>
      <c r="S15" s="51" t="n">
        <v>0.6688</v>
      </c>
      <c r="T15" s="51" t="n">
        <v>0.8383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0.1389</v>
      </c>
      <c r="M16" s="51" t="n">
        <v>0.2603</v>
      </c>
      <c r="N16" s="51" t="n">
        <v>0.078</v>
      </c>
      <c r="O16" s="51" t="n">
        <v>0.1339</v>
      </c>
      <c r="P16" s="51" t="n">
        <v>0.2354</v>
      </c>
      <c r="Q16" s="51" t="n">
        <v>0.3632</v>
      </c>
      <c r="R16" s="51" t="n">
        <v>0.5093</v>
      </c>
      <c r="S16" s="51" t="n">
        <v>0.6692</v>
      </c>
      <c r="T16" s="51" t="n">
        <v>0.8389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0.1731</v>
      </c>
      <c r="M17" s="51" t="n">
        <v>0.0852</v>
      </c>
      <c r="N17" s="51" t="n">
        <v>0.076</v>
      </c>
      <c r="O17" s="51" t="n">
        <v>0.1357</v>
      </c>
      <c r="P17" s="51" t="n">
        <v>0.2374</v>
      </c>
      <c r="Q17" s="51" t="n">
        <v>0.3645</v>
      </c>
      <c r="R17" s="51" t="n">
        <v>0.51</v>
      </c>
      <c r="S17" s="51" t="n">
        <v>0.6695</v>
      </c>
      <c r="T17" s="51" t="n">
        <v>0.8395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0.213</v>
      </c>
      <c r="M18" s="51" t="n">
        <v>0.0767</v>
      </c>
      <c r="N18" s="51" t="n">
        <v>0.0743</v>
      </c>
      <c r="O18" s="51" t="n">
        <v>0.1374</v>
      </c>
      <c r="P18" s="51" t="n">
        <v>0.2391</v>
      </c>
      <c r="Q18" s="51" t="n">
        <v>0.3655</v>
      </c>
      <c r="R18" s="51" t="n">
        <v>0.5105</v>
      </c>
      <c r="S18" s="51" t="n">
        <v>0.6698</v>
      </c>
      <c r="T18" s="51" t="n">
        <v>0.8401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0.259</v>
      </c>
      <c r="M19" s="51" t="n">
        <v>0.0684</v>
      </c>
      <c r="N19" s="51" t="n">
        <v>0.0731</v>
      </c>
      <c r="O19" s="51" t="n">
        <v>0.1388</v>
      </c>
      <c r="P19" s="51" t="n">
        <v>0.2405</v>
      </c>
      <c r="Q19" s="51" t="n">
        <v>0.3664</v>
      </c>
      <c r="R19" s="51" t="n">
        <v>0.511</v>
      </c>
      <c r="S19" s="51" t="n">
        <v>0.67</v>
      </c>
      <c r="T19" s="51" t="n">
        <v>0.8407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AWS=40kt   Re=6.63e+06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0.0127</v>
      </c>
      <c r="M4" s="51" t="n">
        <v>0.0127</v>
      </c>
      <c r="N4" s="51" t="n">
        <v>0.0127</v>
      </c>
      <c r="O4" s="51" t="n">
        <v>0.0127</v>
      </c>
      <c r="P4" s="51" t="n">
        <v>0.1527</v>
      </c>
      <c r="Q4" s="51" t="n">
        <v>0.2992</v>
      </c>
      <c r="R4" s="51" t="n">
        <v>0.4711</v>
      </c>
      <c r="S4" s="51" t="n">
        <v>0.6494</v>
      </c>
      <c r="T4" s="51" t="n">
        <v>0.8277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0.0127</v>
      </c>
      <c r="M5" s="51" t="n">
        <v>0.0151</v>
      </c>
      <c r="N5" s="51" t="n">
        <v>0.0209</v>
      </c>
      <c r="O5" s="51" t="n">
        <v>0.0301</v>
      </c>
      <c r="P5" s="51" t="n">
        <v>0.1668</v>
      </c>
      <c r="Q5" s="51" t="n">
        <v>0.3109</v>
      </c>
      <c r="R5" s="51" t="n">
        <v>0.4784</v>
      </c>
      <c r="S5" s="51" t="n">
        <v>0.6533</v>
      </c>
      <c r="T5" s="51" t="n">
        <v>0.8292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0.0132</v>
      </c>
      <c r="M6" s="51" t="n">
        <v>0.0194</v>
      </c>
      <c r="N6" s="51" t="n">
        <v>0.0324</v>
      </c>
      <c r="O6" s="51" t="n">
        <v>0.0521</v>
      </c>
      <c r="P6" s="51" t="n">
        <v>0.179</v>
      </c>
      <c r="Q6" s="51" t="n">
        <v>0.3207</v>
      </c>
      <c r="R6" s="51" t="n">
        <v>0.4845</v>
      </c>
      <c r="S6" s="51" t="n">
        <v>0.6565</v>
      </c>
      <c r="T6" s="51" t="n">
        <v>0.8305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0.0146</v>
      </c>
      <c r="M7" s="51" t="n">
        <v>0.026</v>
      </c>
      <c r="N7" s="51" t="n">
        <v>0.0475</v>
      </c>
      <c r="O7" s="51" t="n">
        <v>0.0965</v>
      </c>
      <c r="P7" s="51" t="n">
        <v>0.1893</v>
      </c>
      <c r="Q7" s="51" t="n">
        <v>0.329</v>
      </c>
      <c r="R7" s="51" t="n">
        <v>0.4896</v>
      </c>
      <c r="S7" s="51" t="n">
        <v>0.6591</v>
      </c>
      <c r="T7" s="51" t="n">
        <v>0.8316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0.0173</v>
      </c>
      <c r="M8" s="51" t="n">
        <v>0.0353</v>
      </c>
      <c r="N8" s="51" t="n">
        <v>0.0668</v>
      </c>
      <c r="O8" s="51" t="n">
        <v>0.1045</v>
      </c>
      <c r="P8" s="51" t="n">
        <v>0.1982</v>
      </c>
      <c r="Q8" s="51" t="n">
        <v>0.336</v>
      </c>
      <c r="R8" s="51" t="n">
        <v>0.4938</v>
      </c>
      <c r="S8" s="51" t="n">
        <v>0.6612</v>
      </c>
      <c r="T8" s="51" t="n">
        <v>0.8327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0.0218</v>
      </c>
      <c r="M9" s="51" t="n">
        <v>0.0478</v>
      </c>
      <c r="N9" s="51" t="n">
        <v>0.0907</v>
      </c>
      <c r="O9" s="51" t="n">
        <v>0.1109</v>
      </c>
      <c r="P9" s="51" t="n">
        <v>0.2058</v>
      </c>
      <c r="Q9" s="51" t="n">
        <v>0.3419</v>
      </c>
      <c r="R9" s="51" t="n">
        <v>0.4972</v>
      </c>
      <c r="S9" s="51" t="n">
        <v>0.663</v>
      </c>
      <c r="T9" s="51" t="n">
        <v>0.8336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0.0284</v>
      </c>
      <c r="M10" s="51" t="n">
        <v>0.0638</v>
      </c>
      <c r="N10" s="51" t="n">
        <v>0.1195</v>
      </c>
      <c r="O10" s="51" t="n">
        <v>0.1161</v>
      </c>
      <c r="P10" s="51" t="n">
        <v>0.2122</v>
      </c>
      <c r="Q10" s="51" t="n">
        <v>0.3468</v>
      </c>
      <c r="R10" s="51" t="n">
        <v>0.5</v>
      </c>
      <c r="S10" s="51" t="n">
        <v>0.6644</v>
      </c>
      <c r="T10" s="51" t="n">
        <v>0.8345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0.0377</v>
      </c>
      <c r="M11" s="51" t="n">
        <v>0.0839</v>
      </c>
      <c r="N11" s="51" t="n">
        <v>0.1537</v>
      </c>
      <c r="O11" s="51" t="n">
        <v>0.1203</v>
      </c>
      <c r="P11" s="51" t="n">
        <v>0.2177</v>
      </c>
      <c r="Q11" s="51" t="n">
        <v>0.3509</v>
      </c>
      <c r="R11" s="51" t="n">
        <v>0.5023</v>
      </c>
      <c r="S11" s="51" t="n">
        <v>0.6656</v>
      </c>
      <c r="T11" s="51" t="n">
        <v>0.8353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0.05</v>
      </c>
      <c r="M12" s="51" t="n">
        <v>0.1084</v>
      </c>
      <c r="N12" s="51" t="n">
        <v>0.0849</v>
      </c>
      <c r="O12" s="51" t="n">
        <v>0.1238</v>
      </c>
      <c r="P12" s="51" t="n">
        <v>0.2224</v>
      </c>
      <c r="Q12" s="51" t="n">
        <v>0.3542</v>
      </c>
      <c r="R12" s="51" t="n">
        <v>0.5042</v>
      </c>
      <c r="S12" s="51" t="n">
        <v>0.6665</v>
      </c>
      <c r="T12" s="51" t="n">
        <v>0.836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0.0658</v>
      </c>
      <c r="M13" s="51" t="n">
        <v>0.1378</v>
      </c>
      <c r="N13" s="51" t="n">
        <v>0.0838</v>
      </c>
      <c r="O13" s="51" t="n">
        <v>0.1267</v>
      </c>
      <c r="P13" s="51" t="n">
        <v>0.2264</v>
      </c>
      <c r="Q13" s="51" t="n">
        <v>0.357</v>
      </c>
      <c r="R13" s="51" t="n">
        <v>0.5058</v>
      </c>
      <c r="S13" s="51" t="n">
        <v>0.6673</v>
      </c>
      <c r="T13" s="51" t="n">
        <v>0.8368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0.08550000000000001</v>
      </c>
      <c r="M14" s="51" t="n">
        <v>0.1726</v>
      </c>
      <c r="N14" s="51" t="n">
        <v>0.082</v>
      </c>
      <c r="O14" s="51" t="n">
        <v>0.1293</v>
      </c>
      <c r="P14" s="51" t="n">
        <v>0.2298</v>
      </c>
      <c r="Q14" s="51" t="n">
        <v>0.3594</v>
      </c>
      <c r="R14" s="51" t="n">
        <v>0.5071</v>
      </c>
      <c r="S14" s="51" t="n">
        <v>0.6679</v>
      </c>
      <c r="T14" s="51" t="n">
        <v>0.8374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0.1097</v>
      </c>
      <c r="M15" s="51" t="n">
        <v>0.2132</v>
      </c>
      <c r="N15" s="51" t="n">
        <v>0.0798</v>
      </c>
      <c r="O15" s="51" t="n">
        <v>0.1316</v>
      </c>
      <c r="P15" s="51" t="n">
        <v>0.2327</v>
      </c>
      <c r="Q15" s="51" t="n">
        <v>0.3613</v>
      </c>
      <c r="R15" s="51" t="n">
        <v>0.5081</v>
      </c>
      <c r="S15" s="51" t="n">
        <v>0.6684</v>
      </c>
      <c r="T15" s="51" t="n">
        <v>0.8381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0.1386</v>
      </c>
      <c r="M16" s="51" t="n">
        <v>0.2599</v>
      </c>
      <c r="N16" s="51" t="n">
        <v>0.0776</v>
      </c>
      <c r="O16" s="51" t="n">
        <v>0.1336</v>
      </c>
      <c r="P16" s="51" t="n">
        <v>0.235</v>
      </c>
      <c r="Q16" s="51" t="n">
        <v>0.3628</v>
      </c>
      <c r="R16" s="51" t="n">
        <v>0.5089</v>
      </c>
      <c r="S16" s="51" t="n">
        <v>0.6688</v>
      </c>
      <c r="T16" s="51" t="n">
        <v>0.8387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0.1728</v>
      </c>
      <c r="M17" s="51" t="n">
        <v>0.0848</v>
      </c>
      <c r="N17" s="51" t="n">
        <v>0.0756</v>
      </c>
      <c r="O17" s="51" t="n">
        <v>0.1354</v>
      </c>
      <c r="P17" s="51" t="n">
        <v>0.2371</v>
      </c>
      <c r="Q17" s="51" t="n">
        <v>0.3641</v>
      </c>
      <c r="R17" s="51" t="n">
        <v>0.5096000000000001</v>
      </c>
      <c r="S17" s="51" t="n">
        <v>0.6692</v>
      </c>
      <c r="T17" s="51" t="n">
        <v>0.8393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0.2126</v>
      </c>
      <c r="M18" s="51" t="n">
        <v>0.0764</v>
      </c>
      <c r="N18" s="51" t="n">
        <v>0.074</v>
      </c>
      <c r="O18" s="51" t="n">
        <v>0.137</v>
      </c>
      <c r="P18" s="51" t="n">
        <v>0.2387</v>
      </c>
      <c r="Q18" s="51" t="n">
        <v>0.3652</v>
      </c>
      <c r="R18" s="51" t="n">
        <v>0.5102</v>
      </c>
      <c r="S18" s="51" t="n">
        <v>0.6694</v>
      </c>
      <c r="T18" s="51" t="n">
        <v>0.8399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0.2586</v>
      </c>
      <c r="M19" s="51" t="n">
        <v>0.06809999999999999</v>
      </c>
      <c r="N19" s="51" t="n">
        <v>0.0727</v>
      </c>
      <c r="O19" s="51" t="n">
        <v>0.1384</v>
      </c>
      <c r="P19" s="51" t="n">
        <v>0.2401</v>
      </c>
      <c r="Q19" s="51" t="n">
        <v>0.366</v>
      </c>
      <c r="R19" s="51" t="n">
        <v>0.5107</v>
      </c>
      <c r="S19" s="51" t="n">
        <v>0.6697</v>
      </c>
      <c r="T19" s="51" t="n">
        <v>0.8405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AWS=45kt   Re=7.46e+06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0.0124</v>
      </c>
      <c r="M4" s="51" t="n">
        <v>0.0124</v>
      </c>
      <c r="N4" s="51" t="n">
        <v>0.0124</v>
      </c>
      <c r="O4" s="51" t="n">
        <v>0.0124</v>
      </c>
      <c r="P4" s="51" t="n">
        <v>0.1524</v>
      </c>
      <c r="Q4" s="51" t="n">
        <v>0.2989</v>
      </c>
      <c r="R4" s="51" t="n">
        <v>0.4708</v>
      </c>
      <c r="S4" s="51" t="n">
        <v>0.6491</v>
      </c>
      <c r="T4" s="51" t="n">
        <v>0.8275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0.0124</v>
      </c>
      <c r="M5" s="51" t="n">
        <v>0.0148</v>
      </c>
      <c r="N5" s="51" t="n">
        <v>0.0206</v>
      </c>
      <c r="O5" s="51" t="n">
        <v>0.0298</v>
      </c>
      <c r="P5" s="51" t="n">
        <v>0.1666</v>
      </c>
      <c r="Q5" s="51" t="n">
        <v>0.3106</v>
      </c>
      <c r="R5" s="51" t="n">
        <v>0.4781</v>
      </c>
      <c r="S5" s="51" t="n">
        <v>0.653</v>
      </c>
      <c r="T5" s="51" t="n">
        <v>0.829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0.0129</v>
      </c>
      <c r="M6" s="51" t="n">
        <v>0.0191</v>
      </c>
      <c r="N6" s="51" t="n">
        <v>0.0321</v>
      </c>
      <c r="O6" s="51" t="n">
        <v>0.0518</v>
      </c>
      <c r="P6" s="51" t="n">
        <v>0.1787</v>
      </c>
      <c r="Q6" s="51" t="n">
        <v>0.3204</v>
      </c>
      <c r="R6" s="51" t="n">
        <v>0.4843</v>
      </c>
      <c r="S6" s="51" t="n">
        <v>0.6562</v>
      </c>
      <c r="T6" s="51" t="n">
        <v>0.8303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0.0143</v>
      </c>
      <c r="M7" s="51" t="n">
        <v>0.0257</v>
      </c>
      <c r="N7" s="51" t="n">
        <v>0.0472</v>
      </c>
      <c r="O7" s="51" t="n">
        <v>0.09619999999999999</v>
      </c>
      <c r="P7" s="51" t="n">
        <v>0.189</v>
      </c>
      <c r="Q7" s="51" t="n">
        <v>0.3287</v>
      </c>
      <c r="R7" s="51" t="n">
        <v>0.4893</v>
      </c>
      <c r="S7" s="51" t="n">
        <v>0.6588000000000001</v>
      </c>
      <c r="T7" s="51" t="n">
        <v>0.8315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0.017</v>
      </c>
      <c r="M8" s="51" t="n">
        <v>0.035</v>
      </c>
      <c r="N8" s="51" t="n">
        <v>0.0665</v>
      </c>
      <c r="O8" s="51" t="n">
        <v>0.1042</v>
      </c>
      <c r="P8" s="51" t="n">
        <v>0.1979</v>
      </c>
      <c r="Q8" s="51" t="n">
        <v>0.3357</v>
      </c>
      <c r="R8" s="51" t="n">
        <v>0.4935</v>
      </c>
      <c r="S8" s="51" t="n">
        <v>0.6609</v>
      </c>
      <c r="T8" s="51" t="n">
        <v>0.8325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0.0215</v>
      </c>
      <c r="M9" s="51" t="n">
        <v>0.0475</v>
      </c>
      <c r="N9" s="51" t="n">
        <v>0.09039999999999999</v>
      </c>
      <c r="O9" s="51" t="n">
        <v>0.1106</v>
      </c>
      <c r="P9" s="51" t="n">
        <v>0.2055</v>
      </c>
      <c r="Q9" s="51" t="n">
        <v>0.3416</v>
      </c>
      <c r="R9" s="51" t="n">
        <v>0.4969</v>
      </c>
      <c r="S9" s="51" t="n">
        <v>0.6627</v>
      </c>
      <c r="T9" s="51" t="n">
        <v>0.8335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0.0281</v>
      </c>
      <c r="M10" s="51" t="n">
        <v>0.0635</v>
      </c>
      <c r="N10" s="51" t="n">
        <v>0.1192</v>
      </c>
      <c r="O10" s="51" t="n">
        <v>0.1158</v>
      </c>
      <c r="P10" s="51" t="n">
        <v>0.2119</v>
      </c>
      <c r="Q10" s="51" t="n">
        <v>0.3465</v>
      </c>
      <c r="R10" s="51" t="n">
        <v>0.4997</v>
      </c>
      <c r="S10" s="51" t="n">
        <v>0.6641</v>
      </c>
      <c r="T10" s="51" t="n">
        <v>0.8343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0.0374</v>
      </c>
      <c r="M11" s="51" t="n">
        <v>0.08359999999999999</v>
      </c>
      <c r="N11" s="51" t="n">
        <v>0.1534</v>
      </c>
      <c r="O11" s="51" t="n">
        <v>0.12</v>
      </c>
      <c r="P11" s="51" t="n">
        <v>0.2174</v>
      </c>
      <c r="Q11" s="51" t="n">
        <v>0.3506</v>
      </c>
      <c r="R11" s="51" t="n">
        <v>0.502</v>
      </c>
      <c r="S11" s="51" t="n">
        <v>0.6653</v>
      </c>
      <c r="T11" s="51" t="n">
        <v>0.8351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0.0497</v>
      </c>
      <c r="M12" s="51" t="n">
        <v>0.1081</v>
      </c>
      <c r="N12" s="51" t="n">
        <v>0.08459999999999999</v>
      </c>
      <c r="O12" s="51" t="n">
        <v>0.1235</v>
      </c>
      <c r="P12" s="51" t="n">
        <v>0.2221</v>
      </c>
      <c r="Q12" s="51" t="n">
        <v>0.354</v>
      </c>
      <c r="R12" s="51" t="n">
        <v>0.5039</v>
      </c>
      <c r="S12" s="51" t="n">
        <v>0.6662</v>
      </c>
      <c r="T12" s="51" t="n">
        <v>0.8359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0.0655</v>
      </c>
      <c r="M13" s="51" t="n">
        <v>0.1375</v>
      </c>
      <c r="N13" s="51" t="n">
        <v>0.0835</v>
      </c>
      <c r="O13" s="51" t="n">
        <v>0.1264</v>
      </c>
      <c r="P13" s="51" t="n">
        <v>0.2261</v>
      </c>
      <c r="Q13" s="51" t="n">
        <v>0.3568</v>
      </c>
      <c r="R13" s="51" t="n">
        <v>0.5054999999999999</v>
      </c>
      <c r="S13" s="51" t="n">
        <v>0.667</v>
      </c>
      <c r="T13" s="51" t="n">
        <v>0.8366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0.0852</v>
      </c>
      <c r="M14" s="51" t="n">
        <v>0.1723</v>
      </c>
      <c r="N14" s="51" t="n">
        <v>0.08169999999999999</v>
      </c>
      <c r="O14" s="51" t="n">
        <v>0.129</v>
      </c>
      <c r="P14" s="51" t="n">
        <v>0.2295</v>
      </c>
      <c r="Q14" s="51" t="n">
        <v>0.3591</v>
      </c>
      <c r="R14" s="51" t="n">
        <v>0.5068</v>
      </c>
      <c r="S14" s="51" t="n">
        <v>0.6676</v>
      </c>
      <c r="T14" s="51" t="n">
        <v>0.8373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0.1094</v>
      </c>
      <c r="M15" s="51" t="n">
        <v>0.2129</v>
      </c>
      <c r="N15" s="51" t="n">
        <v>0.0795</v>
      </c>
      <c r="O15" s="51" t="n">
        <v>0.1313</v>
      </c>
      <c r="P15" s="51" t="n">
        <v>0.2324</v>
      </c>
      <c r="Q15" s="51" t="n">
        <v>0.361</v>
      </c>
      <c r="R15" s="51" t="n">
        <v>0.5078</v>
      </c>
      <c r="S15" s="51" t="n">
        <v>0.6681</v>
      </c>
      <c r="T15" s="51" t="n">
        <v>0.8379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0.1383</v>
      </c>
      <c r="M16" s="51" t="n">
        <v>0.2596</v>
      </c>
      <c r="N16" s="51" t="n">
        <v>0.07729999999999999</v>
      </c>
      <c r="O16" s="51" t="n">
        <v>0.1333</v>
      </c>
      <c r="P16" s="51" t="n">
        <v>0.2348</v>
      </c>
      <c r="Q16" s="51" t="n">
        <v>0.3625</v>
      </c>
      <c r="R16" s="51" t="n">
        <v>0.5087</v>
      </c>
      <c r="S16" s="51" t="n">
        <v>0.6685</v>
      </c>
      <c r="T16" s="51" t="n">
        <v>0.8386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0.1725</v>
      </c>
      <c r="M17" s="51" t="n">
        <v>0.08450000000000001</v>
      </c>
      <c r="N17" s="51" t="n">
        <v>0.07530000000000001</v>
      </c>
      <c r="O17" s="51" t="n">
        <v>0.1351</v>
      </c>
      <c r="P17" s="51" t="n">
        <v>0.2368</v>
      </c>
      <c r="Q17" s="51" t="n">
        <v>0.3638</v>
      </c>
      <c r="R17" s="51" t="n">
        <v>0.5093</v>
      </c>
      <c r="S17" s="51" t="n">
        <v>0.6689000000000001</v>
      </c>
      <c r="T17" s="51" t="n">
        <v>0.8391999999999999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0.2123</v>
      </c>
      <c r="M18" s="51" t="n">
        <v>0.0761</v>
      </c>
      <c r="N18" s="51" t="n">
        <v>0.0737</v>
      </c>
      <c r="O18" s="51" t="n">
        <v>0.1367</v>
      </c>
      <c r="P18" s="51" t="n">
        <v>0.2384</v>
      </c>
      <c r="Q18" s="51" t="n">
        <v>0.3649</v>
      </c>
      <c r="R18" s="51" t="n">
        <v>0.5099</v>
      </c>
      <c r="S18" s="51" t="n">
        <v>0.6691</v>
      </c>
      <c r="T18" s="51" t="n">
        <v>0.8398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0.2583</v>
      </c>
      <c r="M19" s="51" t="n">
        <v>0.0678</v>
      </c>
      <c r="N19" s="51" t="n">
        <v>0.0725</v>
      </c>
      <c r="O19" s="51" t="n">
        <v>0.1382</v>
      </c>
      <c r="P19" s="51" t="n">
        <v>0.2398</v>
      </c>
      <c r="Q19" s="51" t="n">
        <v>0.3657</v>
      </c>
      <c r="R19" s="51" t="n">
        <v>0.5104</v>
      </c>
      <c r="S19" s="51" t="n">
        <v>0.6694</v>
      </c>
      <c r="T19" s="51" t="n">
        <v>0.8403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T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17"/>
    <col width="8" customWidth="1" style="28" min="18" max="22"/>
  </cols>
  <sheetData>
    <row r="1" ht="19.5" customHeight="1" s="29">
      <c r="A1" s="45" t="inlineStr">
        <is>
          <t>Cl et Cd — AWS=50kt   Re=8.29e+06   Cd=Cd_fric+k(cam)×Cl²</t>
        </is>
      </c>
    </row>
    <row r="2" ht="15" customHeight="1" s="29">
      <c r="B2" s="46" t="inlineStr">
        <is>
          <t>Cl</t>
        </is>
      </c>
      <c r="L2" s="47" t="inlineStr">
        <is>
          <t>Cd</t>
        </is>
      </c>
    </row>
    <row r="3" ht="15" customHeight="1" s="29">
      <c r="A3" s="36" t="inlineStr">
        <is>
          <t>Cam</t>
        </is>
      </c>
      <c r="B3" s="48" t="inlineStr">
        <is>
          <t>0°</t>
        </is>
      </c>
      <c r="C3" s="48" t="inlineStr">
        <is>
          <t>5°</t>
        </is>
      </c>
      <c r="D3" s="48" t="inlineStr">
        <is>
          <t>10°</t>
        </is>
      </c>
      <c r="E3" s="48" t="inlineStr">
        <is>
          <t>15°</t>
        </is>
      </c>
      <c r="F3" s="48" t="inlineStr">
        <is>
          <t>20°</t>
        </is>
      </c>
      <c r="G3" s="48" t="inlineStr">
        <is>
          <t>25°</t>
        </is>
      </c>
      <c r="H3" s="48" t="inlineStr">
        <is>
          <t>30°</t>
        </is>
      </c>
      <c r="I3" s="48" t="inlineStr">
        <is>
          <t>35°</t>
        </is>
      </c>
      <c r="J3" s="48" t="inlineStr">
        <is>
          <t>40°</t>
        </is>
      </c>
      <c r="L3" s="49" t="inlineStr">
        <is>
          <t>0°</t>
        </is>
      </c>
      <c r="M3" s="49" t="inlineStr">
        <is>
          <t>5°</t>
        </is>
      </c>
      <c r="N3" s="49" t="inlineStr">
        <is>
          <t>10°</t>
        </is>
      </c>
      <c r="O3" s="49" t="inlineStr">
        <is>
          <t>15°</t>
        </is>
      </c>
      <c r="P3" s="49" t="inlineStr">
        <is>
          <t>20°</t>
        </is>
      </c>
      <c r="Q3" s="49" t="inlineStr">
        <is>
          <t>25°</t>
        </is>
      </c>
      <c r="R3" s="49" t="inlineStr">
        <is>
          <t>30°</t>
        </is>
      </c>
      <c r="S3" s="49" t="inlineStr">
        <is>
          <t>35°</t>
        </is>
      </c>
      <c r="T3" s="49" t="inlineStr">
        <is>
          <t>40°</t>
        </is>
      </c>
    </row>
    <row r="4" ht="15" customHeight="1" s="29">
      <c r="A4" s="50" t="inlineStr">
        <is>
          <t>0%</t>
        </is>
      </c>
      <c r="B4" s="51" t="n">
        <v>0</v>
      </c>
      <c r="C4" s="51" t="n">
        <v>0.6188</v>
      </c>
      <c r="D4" s="51" t="n">
        <v>1.2375</v>
      </c>
      <c r="E4" s="51" t="n">
        <v>1.8563</v>
      </c>
      <c r="F4" s="51" t="n">
        <v>0.8939</v>
      </c>
      <c r="G4" s="51" t="n">
        <v>0.4406</v>
      </c>
      <c r="H4" s="51" t="n">
        <v>0.1853</v>
      </c>
      <c r="I4" s="51" t="n">
        <v>0.07190000000000001</v>
      </c>
      <c r="J4" s="51" t="n">
        <v>0.5059</v>
      </c>
      <c r="K4" s="52" t="n"/>
      <c r="L4" s="51" t="n">
        <v>0.0121</v>
      </c>
      <c r="M4" s="51" t="n">
        <v>0.0121</v>
      </c>
      <c r="N4" s="51" t="n">
        <v>0.0121</v>
      </c>
      <c r="O4" s="51" t="n">
        <v>0.0121</v>
      </c>
      <c r="P4" s="51" t="n">
        <v>0.1522</v>
      </c>
      <c r="Q4" s="51" t="n">
        <v>0.2987</v>
      </c>
      <c r="R4" s="51" t="n">
        <v>0.4705</v>
      </c>
      <c r="S4" s="51" t="n">
        <v>0.6488</v>
      </c>
      <c r="T4" s="51" t="n">
        <v>0.8274</v>
      </c>
    </row>
    <row r="5" ht="15" customHeight="1" s="29">
      <c r="A5" s="50" t="inlineStr">
        <is>
          <t>1%</t>
        </is>
      </c>
      <c r="B5" s="51" t="n">
        <v>0.1285</v>
      </c>
      <c r="C5" s="51" t="n">
        <v>0.7473</v>
      </c>
      <c r="D5" s="51" t="n">
        <v>1.366</v>
      </c>
      <c r="E5" s="51" t="n">
        <v>1.9848</v>
      </c>
      <c r="F5" s="51" t="n">
        <v>0.7854</v>
      </c>
      <c r="G5" s="51" t="n">
        <v>0.3718</v>
      </c>
      <c r="H5" s="51" t="n">
        <v>0.1529</v>
      </c>
      <c r="I5" s="51" t="n">
        <v>0.0588</v>
      </c>
      <c r="J5" s="51" t="n">
        <v>0.5034</v>
      </c>
      <c r="K5" s="52" t="n"/>
      <c r="L5" s="51" t="n">
        <v>0.0122</v>
      </c>
      <c r="M5" s="51" t="n">
        <v>0.0146</v>
      </c>
      <c r="N5" s="51" t="n">
        <v>0.0203</v>
      </c>
      <c r="O5" s="51" t="n">
        <v>0.0295</v>
      </c>
      <c r="P5" s="51" t="n">
        <v>0.1663</v>
      </c>
      <c r="Q5" s="51" t="n">
        <v>0.3103</v>
      </c>
      <c r="R5" s="51" t="n">
        <v>0.4779</v>
      </c>
      <c r="S5" s="51" t="n">
        <v>0.6526999999999999</v>
      </c>
      <c r="T5" s="51" t="n">
        <v>0.8289</v>
      </c>
    </row>
    <row r="6" ht="15" customHeight="1" s="29">
      <c r="A6" s="50" t="inlineStr">
        <is>
          <t>2%</t>
        </is>
      </c>
      <c r="B6" s="51" t="n">
        <v>0.2571</v>
      </c>
      <c r="C6" s="51" t="n">
        <v>0.8758</v>
      </c>
      <c r="D6" s="51" t="n">
        <v>1.4946</v>
      </c>
      <c r="E6" s="51" t="n">
        <v>2.1133</v>
      </c>
      <c r="F6" s="51" t="n">
        <v>0.6833</v>
      </c>
      <c r="G6" s="51" t="n">
        <v>0.3118</v>
      </c>
      <c r="H6" s="51" t="n">
        <v>0.1258</v>
      </c>
      <c r="I6" s="51" t="n">
        <v>0.048</v>
      </c>
      <c r="J6" s="51" t="n">
        <v>0.5014</v>
      </c>
      <c r="K6" s="52" t="n"/>
      <c r="L6" s="51" t="n">
        <v>0.0127</v>
      </c>
      <c r="M6" s="51" t="n">
        <v>0.0189</v>
      </c>
      <c r="N6" s="51" t="n">
        <v>0.0318</v>
      </c>
      <c r="O6" s="51" t="n">
        <v>0.0515</v>
      </c>
      <c r="P6" s="51" t="n">
        <v>0.1784</v>
      </c>
      <c r="Q6" s="51" t="n">
        <v>0.3202</v>
      </c>
      <c r="R6" s="51" t="n">
        <v>0.484</v>
      </c>
      <c r="S6" s="51" t="n">
        <v>0.6559</v>
      </c>
      <c r="T6" s="51" t="n">
        <v>0.8302</v>
      </c>
    </row>
    <row r="7" ht="15" customHeight="1" s="29">
      <c r="A7" s="50" t="inlineStr">
        <is>
          <t>3%</t>
        </is>
      </c>
      <c r="B7" s="51" t="n">
        <v>0.3856</v>
      </c>
      <c r="C7" s="51" t="n">
        <v>1.0044</v>
      </c>
      <c r="D7" s="51" t="n">
        <v>1.6231</v>
      </c>
      <c r="E7" s="51" t="n">
        <v>1.1009</v>
      </c>
      <c r="F7" s="51" t="n">
        <v>0.589</v>
      </c>
      <c r="G7" s="51" t="n">
        <v>0.2602</v>
      </c>
      <c r="H7" s="51" t="n">
        <v>0.1033</v>
      </c>
      <c r="I7" s="51" t="n">
        <v>0.0392</v>
      </c>
      <c r="J7" s="51" t="n">
        <v>0.4997</v>
      </c>
      <c r="K7" s="52" t="n"/>
      <c r="L7" s="51" t="n">
        <v>0.0141</v>
      </c>
      <c r="M7" s="51" t="n">
        <v>0.0255</v>
      </c>
      <c r="N7" s="51" t="n">
        <v>0.047</v>
      </c>
      <c r="O7" s="51" t="n">
        <v>0.0959</v>
      </c>
      <c r="P7" s="51" t="n">
        <v>0.1888</v>
      </c>
      <c r="Q7" s="51" t="n">
        <v>0.3285</v>
      </c>
      <c r="R7" s="51" t="n">
        <v>0.489</v>
      </c>
      <c r="S7" s="51" t="n">
        <v>0.6585</v>
      </c>
      <c r="T7" s="51" t="n">
        <v>0.8314</v>
      </c>
    </row>
    <row r="8" ht="15" customHeight="1" s="29">
      <c r="A8" s="50" t="inlineStr">
        <is>
          <t>4%</t>
        </is>
      </c>
      <c r="B8" s="51" t="n">
        <v>0.5141</v>
      </c>
      <c r="C8" s="51" t="n">
        <v>1.1329</v>
      </c>
      <c r="D8" s="51" t="n">
        <v>1.7516</v>
      </c>
      <c r="E8" s="51" t="n">
        <v>0.9858</v>
      </c>
      <c r="F8" s="51" t="n">
        <v>0.5034999999999999</v>
      </c>
      <c r="G8" s="51" t="n">
        <v>0.2161</v>
      </c>
      <c r="H8" s="51" t="n">
        <v>0.0847</v>
      </c>
      <c r="I8" s="51" t="n">
        <v>0.0319</v>
      </c>
      <c r="J8" s="51" t="n">
        <v>0.4983</v>
      </c>
      <c r="K8" s="52" t="n"/>
      <c r="L8" s="51" t="n">
        <v>0.0168</v>
      </c>
      <c r="M8" s="51" t="n">
        <v>0.0348</v>
      </c>
      <c r="N8" s="51" t="n">
        <v>0.0663</v>
      </c>
      <c r="O8" s="51" t="n">
        <v>0.1039</v>
      </c>
      <c r="P8" s="51" t="n">
        <v>0.1977</v>
      </c>
      <c r="Q8" s="51" t="n">
        <v>0.3355</v>
      </c>
      <c r="R8" s="51" t="n">
        <v>0.4932</v>
      </c>
      <c r="S8" s="51" t="n">
        <v>0.6607</v>
      </c>
      <c r="T8" s="51" t="n">
        <v>0.8324</v>
      </c>
    </row>
    <row r="9" ht="15" customHeight="1" s="29">
      <c r="A9" s="50" t="inlineStr">
        <is>
          <t>5%</t>
        </is>
      </c>
      <c r="B9" s="51" t="n">
        <v>0.6427</v>
      </c>
      <c r="C9" s="51" t="n">
        <v>1.2614</v>
      </c>
      <c r="D9" s="51" t="n">
        <v>1.8802</v>
      </c>
      <c r="E9" s="51" t="n">
        <v>0.8733</v>
      </c>
      <c r="F9" s="51" t="n">
        <v>0.4272</v>
      </c>
      <c r="G9" s="51" t="n">
        <v>0.1788</v>
      </c>
      <c r="H9" s="51" t="n">
        <v>0.0693</v>
      </c>
      <c r="I9" s="51" t="n">
        <v>0.026</v>
      </c>
      <c r="J9" s="51" t="n">
        <v>0.4972</v>
      </c>
      <c r="K9" s="52" t="n"/>
      <c r="L9" s="51" t="n">
        <v>0.0212</v>
      </c>
      <c r="M9" s="51" t="n">
        <v>0.0472</v>
      </c>
      <c r="N9" s="51" t="n">
        <v>0.0901</v>
      </c>
      <c r="O9" s="51" t="n">
        <v>0.1104</v>
      </c>
      <c r="P9" s="51" t="n">
        <v>0.2052</v>
      </c>
      <c r="Q9" s="51" t="n">
        <v>0.3413</v>
      </c>
      <c r="R9" s="51" t="n">
        <v>0.4967</v>
      </c>
      <c r="S9" s="51" t="n">
        <v>0.6624</v>
      </c>
      <c r="T9" s="51" t="n">
        <v>0.8333</v>
      </c>
    </row>
    <row r="10" ht="15" customHeight="1" s="29">
      <c r="A10" s="50" t="inlineStr">
        <is>
          <t>6%</t>
        </is>
      </c>
      <c r="B10" s="51" t="n">
        <v>0.7712</v>
      </c>
      <c r="C10" s="51" t="n">
        <v>1.3899</v>
      </c>
      <c r="D10" s="51" t="n">
        <v>2.0087</v>
      </c>
      <c r="E10" s="51" t="n">
        <v>0.7659</v>
      </c>
      <c r="F10" s="51" t="n">
        <v>0.36</v>
      </c>
      <c r="G10" s="51" t="n">
        <v>0.1475</v>
      </c>
      <c r="H10" s="51" t="n">
        <v>0.0566</v>
      </c>
      <c r="I10" s="51" t="n">
        <v>0.0212</v>
      </c>
      <c r="J10" s="51" t="n">
        <v>0.4963</v>
      </c>
      <c r="K10" s="52" t="n"/>
      <c r="L10" s="51" t="n">
        <v>0.0278</v>
      </c>
      <c r="M10" s="51" t="n">
        <v>0.0633</v>
      </c>
      <c r="N10" s="51" t="n">
        <v>0.1189</v>
      </c>
      <c r="O10" s="51" t="n">
        <v>0.1155</v>
      </c>
      <c r="P10" s="51" t="n">
        <v>0.2117</v>
      </c>
      <c r="Q10" s="51" t="n">
        <v>0.3462</v>
      </c>
      <c r="R10" s="51" t="n">
        <v>0.4995</v>
      </c>
      <c r="S10" s="51" t="n">
        <v>0.6637999999999999</v>
      </c>
      <c r="T10" s="51" t="n">
        <v>0.8342000000000001</v>
      </c>
    </row>
    <row r="11" ht="15" customHeight="1" s="29">
      <c r="A11" s="50" t="inlineStr">
        <is>
          <t>7%</t>
        </is>
      </c>
      <c r="B11" s="51" t="n">
        <v>0.8997000000000001</v>
      </c>
      <c r="C11" s="51" t="n">
        <v>1.5185</v>
      </c>
      <c r="D11" s="51" t="n">
        <v>2.1372</v>
      </c>
      <c r="E11" s="51" t="n">
        <v>0.6651</v>
      </c>
      <c r="F11" s="51" t="n">
        <v>0.3016</v>
      </c>
      <c r="G11" s="51" t="n">
        <v>0.1213</v>
      </c>
      <c r="H11" s="51" t="n">
        <v>0.0462</v>
      </c>
      <c r="I11" s="51" t="n">
        <v>0.0172</v>
      </c>
      <c r="J11" s="51" t="n">
        <v>0.4956</v>
      </c>
      <c r="K11" s="52" t="n"/>
      <c r="L11" s="51" t="n">
        <v>0.0371</v>
      </c>
      <c r="M11" s="51" t="n">
        <v>0.0833</v>
      </c>
      <c r="N11" s="51" t="n">
        <v>0.1532</v>
      </c>
      <c r="O11" s="51" t="n">
        <v>0.1197</v>
      </c>
      <c r="P11" s="51" t="n">
        <v>0.2172</v>
      </c>
      <c r="Q11" s="51" t="n">
        <v>0.3503</v>
      </c>
      <c r="R11" s="51" t="n">
        <v>0.5018</v>
      </c>
      <c r="S11" s="51" t="n">
        <v>0.665</v>
      </c>
      <c r="T11" s="51" t="n">
        <v>0.835</v>
      </c>
    </row>
    <row r="12" ht="15" customHeight="1" s="29">
      <c r="A12" s="50" t="inlineStr">
        <is>
          <t>8%</t>
        </is>
      </c>
      <c r="B12" s="51" t="n">
        <v>1.0282</v>
      </c>
      <c r="C12" s="51" t="n">
        <v>1.647</v>
      </c>
      <c r="D12" s="51" t="n">
        <v>1.0794</v>
      </c>
      <c r="E12" s="51" t="n">
        <v>0.5724</v>
      </c>
      <c r="F12" s="51" t="n">
        <v>0.2514</v>
      </c>
      <c r="G12" s="51" t="n">
        <v>0.09959999999999999</v>
      </c>
      <c r="H12" s="51" t="n">
        <v>0.0377</v>
      </c>
      <c r="I12" s="51" t="n">
        <v>0.014</v>
      </c>
      <c r="J12" s="51" t="n">
        <v>0.495</v>
      </c>
      <c r="K12" s="52" t="n"/>
      <c r="L12" s="51" t="n">
        <v>0.0494</v>
      </c>
      <c r="M12" s="51" t="n">
        <v>0.1078</v>
      </c>
      <c r="N12" s="51" t="n">
        <v>0.0843</v>
      </c>
      <c r="O12" s="51" t="n">
        <v>0.1232</v>
      </c>
      <c r="P12" s="51" t="n">
        <v>0.2219</v>
      </c>
      <c r="Q12" s="51" t="n">
        <v>0.3537</v>
      </c>
      <c r="R12" s="51" t="n">
        <v>0.5037</v>
      </c>
      <c r="S12" s="51" t="n">
        <v>0.6659</v>
      </c>
      <c r="T12" s="51" t="n">
        <v>0.8358</v>
      </c>
    </row>
    <row r="13" ht="15" customHeight="1" s="29">
      <c r="A13" s="50" t="inlineStr">
        <is>
          <t>9%</t>
        </is>
      </c>
      <c r="B13" s="51" t="n">
        <v>1.1568</v>
      </c>
      <c r="C13" s="51" t="n">
        <v>1.7755</v>
      </c>
      <c r="D13" s="51" t="n">
        <v>0.9646</v>
      </c>
      <c r="E13" s="51" t="n">
        <v>0.4886</v>
      </c>
      <c r="F13" s="51" t="n">
        <v>0.2087</v>
      </c>
      <c r="G13" s="51" t="n">
        <v>0.08160000000000001</v>
      </c>
      <c r="H13" s="51" t="n">
        <v>0.0307</v>
      </c>
      <c r="I13" s="51" t="n">
        <v>0.0114</v>
      </c>
      <c r="J13" s="51" t="n">
        <v>0.4945</v>
      </c>
      <c r="K13" s="52" t="n"/>
      <c r="L13" s="51" t="n">
        <v>0.06519999999999999</v>
      </c>
      <c r="M13" s="51" t="n">
        <v>0.1373</v>
      </c>
      <c r="N13" s="51" t="n">
        <v>0.0832</v>
      </c>
      <c r="O13" s="51" t="n">
        <v>0.1262</v>
      </c>
      <c r="P13" s="51" t="n">
        <v>0.2259</v>
      </c>
      <c r="Q13" s="51" t="n">
        <v>0.3565</v>
      </c>
      <c r="R13" s="51" t="n">
        <v>0.5052</v>
      </c>
      <c r="S13" s="51" t="n">
        <v>0.6667</v>
      </c>
      <c r="T13" s="51" t="n">
        <v>0.8365</v>
      </c>
    </row>
    <row r="14" ht="15" customHeight="1" s="29">
      <c r="A14" s="50" t="inlineStr">
        <is>
          <t>10%</t>
        </is>
      </c>
      <c r="B14" s="51" t="n">
        <v>1.2853</v>
      </c>
      <c r="C14" s="51" t="n">
        <v>1.9041</v>
      </c>
      <c r="D14" s="51" t="n">
        <v>0.8529</v>
      </c>
      <c r="E14" s="51" t="n">
        <v>0.414</v>
      </c>
      <c r="F14" s="51" t="n">
        <v>0.1726</v>
      </c>
      <c r="G14" s="51" t="n">
        <v>0.0668</v>
      </c>
      <c r="H14" s="51" t="n">
        <v>0.025</v>
      </c>
      <c r="I14" s="51" t="n">
        <v>0.009299999999999999</v>
      </c>
      <c r="J14" s="51" t="n">
        <v>0.4941</v>
      </c>
      <c r="K14" s="52" t="n"/>
      <c r="L14" s="51" t="n">
        <v>0.08500000000000001</v>
      </c>
      <c r="M14" s="51" t="n">
        <v>0.1721</v>
      </c>
      <c r="N14" s="51" t="n">
        <v>0.0814</v>
      </c>
      <c r="O14" s="51" t="n">
        <v>0.1287</v>
      </c>
      <c r="P14" s="51" t="n">
        <v>0.2292</v>
      </c>
      <c r="Q14" s="51" t="n">
        <v>0.3588</v>
      </c>
      <c r="R14" s="51" t="n">
        <v>0.5065</v>
      </c>
      <c r="S14" s="51" t="n">
        <v>0.6673</v>
      </c>
      <c r="T14" s="51" t="n">
        <v>0.8372000000000001</v>
      </c>
    </row>
    <row r="15" ht="15" customHeight="1" s="29">
      <c r="A15" s="50" t="inlineStr">
        <is>
          <t>11%</t>
        </is>
      </c>
      <c r="B15" s="51" t="n">
        <v>1.4138</v>
      </c>
      <c r="C15" s="51" t="n">
        <v>2.0326</v>
      </c>
      <c r="D15" s="51" t="n">
        <v>0.7466</v>
      </c>
      <c r="E15" s="51" t="n">
        <v>0.3485</v>
      </c>
      <c r="F15" s="51" t="n">
        <v>0.1423</v>
      </c>
      <c r="G15" s="51" t="n">
        <v>0.0545</v>
      </c>
      <c r="H15" s="51" t="n">
        <v>0.0204</v>
      </c>
      <c r="I15" s="51" t="n">
        <v>0.0075</v>
      </c>
      <c r="J15" s="51" t="n">
        <v>0.4938</v>
      </c>
      <c r="K15" s="52" t="n"/>
      <c r="L15" s="51" t="n">
        <v>0.1091</v>
      </c>
      <c r="M15" s="51" t="n">
        <v>0.2126</v>
      </c>
      <c r="N15" s="51" t="n">
        <v>0.07920000000000001</v>
      </c>
      <c r="O15" s="51" t="n">
        <v>0.131</v>
      </c>
      <c r="P15" s="51" t="n">
        <v>0.2321</v>
      </c>
      <c r="Q15" s="51" t="n">
        <v>0.3607</v>
      </c>
      <c r="R15" s="51" t="n">
        <v>0.5075</v>
      </c>
      <c r="S15" s="51" t="n">
        <v>0.6679</v>
      </c>
      <c r="T15" s="51" t="n">
        <v>0.8378</v>
      </c>
    </row>
    <row r="16" ht="15" customHeight="1" s="29">
      <c r="A16" s="50" t="inlineStr">
        <is>
          <t>12%</t>
        </is>
      </c>
      <c r="B16" s="51" t="n">
        <v>1.5424</v>
      </c>
      <c r="C16" s="51" t="n">
        <v>2.1611</v>
      </c>
      <c r="D16" s="51" t="n">
        <v>0.6472</v>
      </c>
      <c r="E16" s="51" t="n">
        <v>0.2917</v>
      </c>
      <c r="F16" s="51" t="n">
        <v>0.117</v>
      </c>
      <c r="G16" s="51" t="n">
        <v>0.0445</v>
      </c>
      <c r="H16" s="51" t="n">
        <v>0.0166</v>
      </c>
      <c r="I16" s="51" t="n">
        <v>0.0061</v>
      </c>
      <c r="J16" s="51" t="n">
        <v>0.4935</v>
      </c>
      <c r="K16" s="52" t="n"/>
      <c r="L16" s="51" t="n">
        <v>0.138</v>
      </c>
      <c r="M16" s="51" t="n">
        <v>0.2594</v>
      </c>
      <c r="N16" s="51" t="n">
        <v>0.0771</v>
      </c>
      <c r="O16" s="51" t="n">
        <v>0.133</v>
      </c>
      <c r="P16" s="51" t="n">
        <v>0.2345</v>
      </c>
      <c r="Q16" s="51" t="n">
        <v>0.3623</v>
      </c>
      <c r="R16" s="51" t="n">
        <v>0.5084</v>
      </c>
      <c r="S16" s="51" t="n">
        <v>0.6683</v>
      </c>
      <c r="T16" s="51" t="n">
        <v>0.8384</v>
      </c>
    </row>
    <row r="17" ht="15" customHeight="1" s="29">
      <c r="A17" s="50" t="inlineStr">
        <is>
          <t>13%</t>
        </is>
      </c>
      <c r="B17" s="51" t="n">
        <v>1.6709</v>
      </c>
      <c r="C17" s="51" t="n">
        <v>1.0579</v>
      </c>
      <c r="D17" s="51" t="n">
        <v>0.5561</v>
      </c>
      <c r="E17" s="51" t="n">
        <v>0.2429</v>
      </c>
      <c r="F17" s="51" t="n">
        <v>0.096</v>
      </c>
      <c r="G17" s="51" t="n">
        <v>0.0363</v>
      </c>
      <c r="H17" s="51" t="n">
        <v>0.0135</v>
      </c>
      <c r="I17" s="51" t="n">
        <v>0.005</v>
      </c>
      <c r="J17" s="51" t="n">
        <v>0.4933</v>
      </c>
      <c r="K17" s="52" t="n"/>
      <c r="L17" s="51" t="n">
        <v>0.1722</v>
      </c>
      <c r="M17" s="51" t="n">
        <v>0.0843</v>
      </c>
      <c r="N17" s="51" t="n">
        <v>0.0751</v>
      </c>
      <c r="O17" s="51" t="n">
        <v>0.1349</v>
      </c>
      <c r="P17" s="51" t="n">
        <v>0.2365</v>
      </c>
      <c r="Q17" s="51" t="n">
        <v>0.3636</v>
      </c>
      <c r="R17" s="51" t="n">
        <v>0.5091</v>
      </c>
      <c r="S17" s="51" t="n">
        <v>0.6686</v>
      </c>
      <c r="T17" s="51" t="n">
        <v>0.839</v>
      </c>
    </row>
    <row r="18" ht="15" customHeight="1" s="29">
      <c r="A18" s="50" t="inlineStr">
        <is>
          <t>14%</t>
        </is>
      </c>
      <c r="B18" s="51" t="n">
        <v>1.7994</v>
      </c>
      <c r="C18" s="51" t="n">
        <v>0.9435</v>
      </c>
      <c r="D18" s="51" t="n">
        <v>0.474</v>
      </c>
      <c r="E18" s="51" t="n">
        <v>0.2015</v>
      </c>
      <c r="F18" s="51" t="n">
        <v>0.0786</v>
      </c>
      <c r="G18" s="51" t="n">
        <v>0.0296</v>
      </c>
      <c r="H18" s="51" t="n">
        <v>0.011</v>
      </c>
      <c r="I18" s="51" t="n">
        <v>0.004</v>
      </c>
      <c r="J18" s="51" t="n">
        <v>0.4931</v>
      </c>
      <c r="K18" s="52" t="n"/>
      <c r="L18" s="51" t="n">
        <v>0.2121</v>
      </c>
      <c r="M18" s="51" t="n">
        <v>0.07580000000000001</v>
      </c>
      <c r="N18" s="51" t="n">
        <v>0.0735</v>
      </c>
      <c r="O18" s="51" t="n">
        <v>0.1365</v>
      </c>
      <c r="P18" s="51" t="n">
        <v>0.2382</v>
      </c>
      <c r="Q18" s="51" t="n">
        <v>0.3646</v>
      </c>
      <c r="R18" s="51" t="n">
        <v>0.5096000000000001</v>
      </c>
      <c r="S18" s="51" t="n">
        <v>0.6689000000000001</v>
      </c>
      <c r="T18" s="51" t="n">
        <v>0.8396</v>
      </c>
    </row>
    <row r="19" ht="15" customHeight="1" s="29">
      <c r="A19" s="50" t="inlineStr">
        <is>
          <t>15%</t>
        </is>
      </c>
      <c r="B19" s="51" t="n">
        <v>1.928</v>
      </c>
      <c r="C19" s="51" t="n">
        <v>0.8327</v>
      </c>
      <c r="D19" s="51" t="n">
        <v>0.4011</v>
      </c>
      <c r="E19" s="51" t="n">
        <v>0.1665</v>
      </c>
      <c r="F19" s="51" t="n">
        <v>0.0643</v>
      </c>
      <c r="G19" s="51" t="n">
        <v>0.0241</v>
      </c>
      <c r="H19" s="51" t="n">
        <v>0.0089</v>
      </c>
      <c r="I19" s="51" t="n">
        <v>0.0033</v>
      </c>
      <c r="J19" s="51" t="n">
        <v>0.493</v>
      </c>
      <c r="K19" s="52" t="n"/>
      <c r="L19" s="51" t="n">
        <v>0.2581</v>
      </c>
      <c r="M19" s="51" t="n">
        <v>0.0675</v>
      </c>
      <c r="N19" s="51" t="n">
        <v>0.0722</v>
      </c>
      <c r="O19" s="51" t="n">
        <v>0.1379</v>
      </c>
      <c r="P19" s="51" t="n">
        <v>0.2396</v>
      </c>
      <c r="Q19" s="51" t="n">
        <v>0.3655</v>
      </c>
      <c r="R19" s="51" t="n">
        <v>0.5101</v>
      </c>
      <c r="S19" s="51" t="n">
        <v>0.6691</v>
      </c>
      <c r="T19" s="51" t="n">
        <v>0.8401999999999999</v>
      </c>
    </row>
    <row r="20"/>
    <row r="21"/>
    <row r="22" ht="15" customHeight="1" s="29">
      <c r="A22" s="53" t="inlineStr">
        <is>
          <t>Cl = f(AOA) — toutes cambrures</t>
        </is>
      </c>
    </row>
    <row r="23" ht="15" customHeight="1" s="29">
      <c r="A23" s="54" t="inlineStr">
        <is>
          <t>AOA</t>
        </is>
      </c>
      <c r="B23" s="54" t="inlineStr">
        <is>
          <t>0%</t>
        </is>
      </c>
      <c r="C23" s="54" t="inlineStr">
        <is>
          <t>1%</t>
        </is>
      </c>
      <c r="D23" s="54" t="inlineStr">
        <is>
          <t>2%</t>
        </is>
      </c>
      <c r="E23" s="54" t="inlineStr">
        <is>
          <t>3%</t>
        </is>
      </c>
      <c r="F23" s="54" t="inlineStr">
        <is>
          <t>4%</t>
        </is>
      </c>
      <c r="G23" s="54" t="inlineStr">
        <is>
          <t>5%</t>
        </is>
      </c>
      <c r="H23" s="54" t="inlineStr">
        <is>
          <t>6%</t>
        </is>
      </c>
      <c r="I23" s="54" t="inlineStr">
        <is>
          <t>7%</t>
        </is>
      </c>
      <c r="J23" s="54" t="inlineStr">
        <is>
          <t>8%</t>
        </is>
      </c>
      <c r="K23" s="54" t="inlineStr">
        <is>
          <t>10%</t>
        </is>
      </c>
      <c r="L23" s="54" t="inlineStr">
        <is>
          <t>11%</t>
        </is>
      </c>
      <c r="M23" s="54" t="inlineStr">
        <is>
          <t>12%</t>
        </is>
      </c>
      <c r="N23" s="54" t="inlineStr">
        <is>
          <t>13%</t>
        </is>
      </c>
      <c r="O23" s="54" t="inlineStr">
        <is>
          <t>14%</t>
        </is>
      </c>
      <c r="P23" s="54" t="inlineStr">
        <is>
          <t>15%</t>
        </is>
      </c>
    </row>
    <row r="24" ht="15" customHeight="1" s="29">
      <c r="A24" s="55" t="n">
        <v>0</v>
      </c>
      <c r="B24" s="56" t="n">
        <v>0</v>
      </c>
      <c r="C24" s="56" t="n">
        <v>0.1285</v>
      </c>
      <c r="D24" s="56" t="n">
        <v>0.2571</v>
      </c>
      <c r="E24" s="56" t="n">
        <v>0.3856</v>
      </c>
      <c r="F24" s="56" t="n">
        <v>0.5141</v>
      </c>
      <c r="G24" s="56" t="n">
        <v>0.6427</v>
      </c>
      <c r="H24" s="56" t="n">
        <v>0.7712</v>
      </c>
      <c r="I24" s="56" t="n">
        <v>0.8997000000000001</v>
      </c>
      <c r="J24" s="56" t="n">
        <v>1.0282</v>
      </c>
      <c r="K24" s="56" t="n">
        <v>1.2853</v>
      </c>
      <c r="L24" s="56" t="n">
        <v>1.4138</v>
      </c>
      <c r="M24" s="56" t="n">
        <v>1.5424</v>
      </c>
      <c r="N24" s="56" t="n">
        <v>1.6709</v>
      </c>
      <c r="O24" s="56" t="n">
        <v>1.7994</v>
      </c>
      <c r="P24" s="56" t="n">
        <v>1.928</v>
      </c>
    </row>
    <row r="25" ht="15" customHeight="1" s="29">
      <c r="A25" s="55" t="n">
        <v>1</v>
      </c>
      <c r="B25" s="56" t="n">
        <v>0.1238</v>
      </c>
      <c r="C25" s="56" t="n">
        <v>0.2523</v>
      </c>
      <c r="D25" s="56" t="n">
        <v>0.3808</v>
      </c>
      <c r="E25" s="56" t="n">
        <v>0.5093</v>
      </c>
      <c r="F25" s="56" t="n">
        <v>0.6379</v>
      </c>
      <c r="G25" s="56" t="n">
        <v>0.7664</v>
      </c>
      <c r="H25" s="56" t="n">
        <v>0.8949</v>
      </c>
      <c r="I25" s="56" t="n">
        <v>1.0235</v>
      </c>
      <c r="J25" s="56" t="n">
        <v>1.152</v>
      </c>
      <c r="K25" s="56" t="n">
        <v>1.4091</v>
      </c>
      <c r="L25" s="56" t="n">
        <v>1.5376</v>
      </c>
      <c r="M25" s="56" t="n">
        <v>1.6661</v>
      </c>
      <c r="N25" s="56" t="n">
        <v>1.7947</v>
      </c>
      <c r="O25" s="56" t="n">
        <v>1.9232</v>
      </c>
      <c r="P25" s="56" t="n">
        <v>2.0517</v>
      </c>
    </row>
    <row r="26" ht="15" customHeight="1" s="29">
      <c r="A26" s="55" t="n">
        <v>2</v>
      </c>
      <c r="B26" s="56" t="n">
        <v>0.2475</v>
      </c>
      <c r="C26" s="56" t="n">
        <v>0.376</v>
      </c>
      <c r="D26" s="56" t="n">
        <v>0.5046</v>
      </c>
      <c r="E26" s="56" t="n">
        <v>0.6331</v>
      </c>
      <c r="F26" s="56" t="n">
        <v>0.7616000000000001</v>
      </c>
      <c r="G26" s="56" t="n">
        <v>0.8902</v>
      </c>
      <c r="H26" s="56" t="n">
        <v>1.0187</v>
      </c>
      <c r="I26" s="56" t="n">
        <v>1.1472</v>
      </c>
      <c r="J26" s="56" t="n">
        <v>1.2758</v>
      </c>
      <c r="K26" s="56" t="n">
        <v>1.5328</v>
      </c>
      <c r="L26" s="56" t="n">
        <v>1.6613</v>
      </c>
      <c r="M26" s="56" t="n">
        <v>1.7899</v>
      </c>
      <c r="N26" s="56" t="n">
        <v>1.9184</v>
      </c>
      <c r="O26" s="56" t="n">
        <v>2.0469</v>
      </c>
      <c r="P26" s="56" t="n">
        <v>2.1755</v>
      </c>
    </row>
    <row r="27" ht="15" customHeight="1" s="29">
      <c r="A27" s="55" t="n">
        <v>3</v>
      </c>
      <c r="B27" s="56" t="n">
        <v>0.3713</v>
      </c>
      <c r="C27" s="56" t="n">
        <v>0.4998</v>
      </c>
      <c r="D27" s="56" t="n">
        <v>0.6283</v>
      </c>
      <c r="E27" s="56" t="n">
        <v>0.7568</v>
      </c>
      <c r="F27" s="56" t="n">
        <v>0.8854</v>
      </c>
      <c r="G27" s="56" t="n">
        <v>1.0139</v>
      </c>
      <c r="H27" s="56" t="n">
        <v>1.1424</v>
      </c>
      <c r="I27" s="56" t="n">
        <v>1.271</v>
      </c>
      <c r="J27" s="56" t="n">
        <v>1.3995</v>
      </c>
      <c r="K27" s="56" t="n">
        <v>1.6566</v>
      </c>
      <c r="L27" s="56" t="n">
        <v>1.7851</v>
      </c>
      <c r="M27" s="56" t="n">
        <v>1.9136</v>
      </c>
      <c r="N27" s="56" t="n">
        <v>2.0422</v>
      </c>
      <c r="O27" s="56" t="n">
        <v>2.1707</v>
      </c>
      <c r="P27" s="56" t="n">
        <v>1.0493</v>
      </c>
    </row>
    <row r="28" ht="15" customHeight="1" s="29">
      <c r="A28" s="55" t="n">
        <v>4</v>
      </c>
      <c r="B28" s="56" t="n">
        <v>0.495</v>
      </c>
      <c r="C28" s="56" t="n">
        <v>0.6235000000000001</v>
      </c>
      <c r="D28" s="56" t="n">
        <v>0.7521</v>
      </c>
      <c r="E28" s="56" t="n">
        <v>0.8806</v>
      </c>
      <c r="F28" s="56" t="n">
        <v>1.0091</v>
      </c>
      <c r="G28" s="56" t="n">
        <v>1.1377</v>
      </c>
      <c r="H28" s="56" t="n">
        <v>1.2662</v>
      </c>
      <c r="I28" s="56" t="n">
        <v>1.3947</v>
      </c>
      <c r="J28" s="56" t="n">
        <v>1.5233</v>
      </c>
      <c r="K28" s="56" t="n">
        <v>1.7803</v>
      </c>
      <c r="L28" s="56" t="n">
        <v>1.9088</v>
      </c>
      <c r="M28" s="56" t="n">
        <v>2.0374</v>
      </c>
      <c r="N28" s="56" t="n">
        <v>2.1659</v>
      </c>
      <c r="O28" s="56" t="n">
        <v>1.0536</v>
      </c>
      <c r="P28" s="56" t="n">
        <v>0.9393</v>
      </c>
    </row>
    <row r="29" ht="15" customHeight="1" s="29">
      <c r="A29" s="55" t="n">
        <v>5</v>
      </c>
      <c r="B29" s="56" t="n">
        <v>0.6188</v>
      </c>
      <c r="C29" s="56" t="n">
        <v>0.7473</v>
      </c>
      <c r="D29" s="56" t="n">
        <v>0.8758</v>
      </c>
      <c r="E29" s="56" t="n">
        <v>1.0044</v>
      </c>
      <c r="F29" s="56" t="n">
        <v>1.1329</v>
      </c>
      <c r="G29" s="56" t="n">
        <v>1.2614</v>
      </c>
      <c r="H29" s="56" t="n">
        <v>1.3899</v>
      </c>
      <c r="I29" s="56" t="n">
        <v>1.5185</v>
      </c>
      <c r="J29" s="56" t="n">
        <v>1.647</v>
      </c>
      <c r="K29" s="56" t="n">
        <v>1.9041</v>
      </c>
      <c r="L29" s="56" t="n">
        <v>2.0326</v>
      </c>
      <c r="M29" s="56" t="n">
        <v>2.1611</v>
      </c>
      <c r="N29" s="56" t="n">
        <v>1.0579</v>
      </c>
      <c r="O29" s="56" t="n">
        <v>0.9435</v>
      </c>
      <c r="P29" s="56" t="n">
        <v>0.8327</v>
      </c>
    </row>
    <row r="30" ht="15" customHeight="1" s="29">
      <c r="A30" s="55" t="n">
        <v>6</v>
      </c>
      <c r="B30" s="56" t="n">
        <v>0.7425</v>
      </c>
      <c r="C30" s="56" t="n">
        <v>0.871</v>
      </c>
      <c r="D30" s="56" t="n">
        <v>0.9996</v>
      </c>
      <c r="E30" s="56" t="n">
        <v>1.1281</v>
      </c>
      <c r="F30" s="56" t="n">
        <v>1.2566</v>
      </c>
      <c r="G30" s="56" t="n">
        <v>1.3852</v>
      </c>
      <c r="H30" s="56" t="n">
        <v>1.5137</v>
      </c>
      <c r="I30" s="56" t="n">
        <v>1.6422</v>
      </c>
      <c r="J30" s="56" t="n">
        <v>1.7708</v>
      </c>
      <c r="K30" s="56" t="n">
        <v>2.0278</v>
      </c>
      <c r="L30" s="56" t="n">
        <v>2.1564</v>
      </c>
      <c r="M30" s="56" t="n">
        <v>1.0622</v>
      </c>
      <c r="N30" s="56" t="n">
        <v>0.9477</v>
      </c>
      <c r="O30" s="56" t="n">
        <v>0.8367</v>
      </c>
      <c r="P30" s="56" t="n">
        <v>0.7313</v>
      </c>
    </row>
    <row r="31" ht="15" customHeight="1" s="29">
      <c r="A31" s="55" t="n">
        <v>7</v>
      </c>
      <c r="B31" s="56" t="n">
        <v>0.8663</v>
      </c>
      <c r="C31" s="56" t="n">
        <v>0.9948</v>
      </c>
      <c r="D31" s="56" t="n">
        <v>1.1233</v>
      </c>
      <c r="E31" s="56" t="n">
        <v>1.2519</v>
      </c>
      <c r="F31" s="56" t="n">
        <v>1.3804</v>
      </c>
      <c r="G31" s="56" t="n">
        <v>1.5089</v>
      </c>
      <c r="H31" s="56" t="n">
        <v>1.6374</v>
      </c>
      <c r="I31" s="56" t="n">
        <v>1.766</v>
      </c>
      <c r="J31" s="56" t="n">
        <v>1.8945</v>
      </c>
      <c r="K31" s="56" t="n">
        <v>2.1516</v>
      </c>
      <c r="L31" s="56" t="n">
        <v>1.0665</v>
      </c>
      <c r="M31" s="56" t="n">
        <v>0.9519</v>
      </c>
      <c r="N31" s="56" t="n">
        <v>0.8408</v>
      </c>
      <c r="O31" s="56" t="n">
        <v>0.7351</v>
      </c>
      <c r="P31" s="56" t="n">
        <v>0.6366000000000001</v>
      </c>
    </row>
    <row r="32" ht="15" customHeight="1" s="29">
      <c r="A32" s="55" t="n">
        <v>8</v>
      </c>
      <c r="B32" s="56" t="n">
        <v>0.99</v>
      </c>
      <c r="C32" s="56" t="n">
        <v>1.1185</v>
      </c>
      <c r="D32" s="56" t="n">
        <v>1.2471</v>
      </c>
      <c r="E32" s="56" t="n">
        <v>1.3756</v>
      </c>
      <c r="F32" s="56" t="n">
        <v>1.5041</v>
      </c>
      <c r="G32" s="56" t="n">
        <v>1.6327</v>
      </c>
      <c r="H32" s="56" t="n">
        <v>1.7612</v>
      </c>
      <c r="I32" s="56" t="n">
        <v>1.8897</v>
      </c>
      <c r="J32" s="56" t="n">
        <v>2.0183</v>
      </c>
      <c r="K32" s="56" t="n">
        <v>1.0708</v>
      </c>
      <c r="L32" s="56" t="n">
        <v>0.9560999999999999</v>
      </c>
      <c r="M32" s="56" t="n">
        <v>0.8448</v>
      </c>
      <c r="N32" s="56" t="n">
        <v>0.7389</v>
      </c>
      <c r="O32" s="56" t="n">
        <v>0.6402</v>
      </c>
      <c r="P32" s="56" t="n">
        <v>0.5497</v>
      </c>
    </row>
    <row r="33" ht="15" customHeight="1" s="29">
      <c r="A33" s="55" t="n">
        <v>9</v>
      </c>
      <c r="B33" s="56" t="n">
        <v>1.1138</v>
      </c>
      <c r="C33" s="56" t="n">
        <v>1.2423</v>
      </c>
      <c r="D33" s="56" t="n">
        <v>1.3708</v>
      </c>
      <c r="E33" s="56" t="n">
        <v>1.4994</v>
      </c>
      <c r="F33" s="56" t="n">
        <v>1.6279</v>
      </c>
      <c r="G33" s="56" t="n">
        <v>1.7564</v>
      </c>
      <c r="H33" s="56" t="n">
        <v>1.885</v>
      </c>
      <c r="I33" s="56" t="n">
        <v>2.0135</v>
      </c>
      <c r="J33" s="56" t="n">
        <v>2.142</v>
      </c>
      <c r="K33" s="56" t="n">
        <v>0.9604</v>
      </c>
      <c r="L33" s="56" t="n">
        <v>0.8489</v>
      </c>
      <c r="M33" s="56" t="n">
        <v>0.7427</v>
      </c>
      <c r="N33" s="56" t="n">
        <v>0.6437</v>
      </c>
      <c r="O33" s="56" t="n">
        <v>0.5528999999999999</v>
      </c>
      <c r="P33" s="56" t="n">
        <v>0.4711</v>
      </c>
    </row>
    <row r="34" ht="15" customHeight="1" s="29">
      <c r="A34" s="55" t="n">
        <v>10</v>
      </c>
      <c r="B34" s="56" t="n">
        <v>1.2375</v>
      </c>
      <c r="C34" s="56" t="n">
        <v>1.366</v>
      </c>
      <c r="D34" s="56" t="n">
        <v>1.4946</v>
      </c>
      <c r="E34" s="56" t="n">
        <v>1.6231</v>
      </c>
      <c r="F34" s="56" t="n">
        <v>1.7516</v>
      </c>
      <c r="G34" s="56" t="n">
        <v>1.8802</v>
      </c>
      <c r="H34" s="56" t="n">
        <v>2.0087</v>
      </c>
      <c r="I34" s="56" t="n">
        <v>2.1372</v>
      </c>
      <c r="J34" s="56" t="n">
        <v>1.0794</v>
      </c>
      <c r="K34" s="56" t="n">
        <v>0.8529</v>
      </c>
      <c r="L34" s="56" t="n">
        <v>0.7466</v>
      </c>
      <c r="M34" s="56" t="n">
        <v>0.6472</v>
      </c>
      <c r="N34" s="56" t="n">
        <v>0.5561</v>
      </c>
      <c r="O34" s="56" t="n">
        <v>0.474</v>
      </c>
      <c r="P34" s="56" t="n">
        <v>0.4011</v>
      </c>
    </row>
    <row r="35" ht="15" customHeight="1" s="29">
      <c r="A35" s="55" t="n">
        <v>11</v>
      </c>
      <c r="B35" s="56" t="n">
        <v>1.3613</v>
      </c>
      <c r="C35" s="56" t="n">
        <v>1.4898</v>
      </c>
      <c r="D35" s="56" t="n">
        <v>1.6183</v>
      </c>
      <c r="E35" s="56" t="n">
        <v>1.7469</v>
      </c>
      <c r="F35" s="56" t="n">
        <v>1.8754</v>
      </c>
      <c r="G35" s="56" t="n">
        <v>2.0039</v>
      </c>
      <c r="H35" s="56" t="n">
        <v>2.1325</v>
      </c>
      <c r="I35" s="56" t="n">
        <v>1.0837</v>
      </c>
      <c r="J35" s="56" t="n">
        <v>0.9688</v>
      </c>
      <c r="K35" s="56" t="n">
        <v>0.7504</v>
      </c>
      <c r="L35" s="56" t="n">
        <v>0.6508</v>
      </c>
      <c r="M35" s="56" t="n">
        <v>0.5594</v>
      </c>
      <c r="N35" s="56" t="n">
        <v>0.4769</v>
      </c>
      <c r="O35" s="56" t="n">
        <v>0.4037</v>
      </c>
      <c r="P35" s="56" t="n">
        <v>0.3395</v>
      </c>
    </row>
    <row r="36" ht="15" customHeight="1" s="29">
      <c r="A36" s="55" t="n">
        <v>12</v>
      </c>
      <c r="B36" s="56" t="n">
        <v>1.485</v>
      </c>
      <c r="C36" s="56" t="n">
        <v>1.6136</v>
      </c>
      <c r="D36" s="56" t="n">
        <v>1.7421</v>
      </c>
      <c r="E36" s="56" t="n">
        <v>1.8706</v>
      </c>
      <c r="F36" s="56" t="n">
        <v>1.9991</v>
      </c>
      <c r="G36" s="56" t="n">
        <v>2.1277</v>
      </c>
      <c r="H36" s="56" t="n">
        <v>1.088</v>
      </c>
      <c r="I36" s="56" t="n">
        <v>0.973</v>
      </c>
      <c r="J36" s="56" t="n">
        <v>0.8611</v>
      </c>
      <c r="K36" s="56" t="n">
        <v>0.6543</v>
      </c>
      <c r="L36" s="56" t="n">
        <v>0.5626</v>
      </c>
      <c r="M36" s="56" t="n">
        <v>0.4798</v>
      </c>
      <c r="N36" s="56" t="n">
        <v>0.4062</v>
      </c>
      <c r="O36" s="56" t="n">
        <v>0.3417</v>
      </c>
      <c r="P36" s="56" t="n">
        <v>0.2858</v>
      </c>
    </row>
    <row r="37" ht="15" customHeight="1" s="29">
      <c r="A37" s="55" t="n">
        <v>13</v>
      </c>
      <c r="B37" s="56" t="n">
        <v>1.6088</v>
      </c>
      <c r="C37" s="56" t="n">
        <v>1.7373</v>
      </c>
      <c r="D37" s="56" t="n">
        <v>1.8658</v>
      </c>
      <c r="E37" s="56" t="n">
        <v>1.9944</v>
      </c>
      <c r="F37" s="56" t="n">
        <v>2.1229</v>
      </c>
      <c r="G37" s="56" t="n">
        <v>1.0923</v>
      </c>
      <c r="H37" s="56" t="n">
        <v>0.9772999999999999</v>
      </c>
      <c r="I37" s="56" t="n">
        <v>0.8652</v>
      </c>
      <c r="J37" s="56" t="n">
        <v>0.7581</v>
      </c>
      <c r="K37" s="56" t="n">
        <v>0.5659</v>
      </c>
      <c r="L37" s="56" t="n">
        <v>0.4827</v>
      </c>
      <c r="M37" s="56" t="n">
        <v>0.4088</v>
      </c>
      <c r="N37" s="56" t="n">
        <v>0.344</v>
      </c>
      <c r="O37" s="56" t="n">
        <v>0.2878</v>
      </c>
      <c r="P37" s="56" t="n">
        <v>0.2396</v>
      </c>
    </row>
    <row r="38" ht="15" customHeight="1" s="29">
      <c r="A38" s="55" t="n">
        <v>14</v>
      </c>
      <c r="B38" s="56" t="n">
        <v>1.7325</v>
      </c>
      <c r="C38" s="56" t="n">
        <v>1.8611</v>
      </c>
      <c r="D38" s="56" t="n">
        <v>1.9896</v>
      </c>
      <c r="E38" s="56" t="n">
        <v>2.1181</v>
      </c>
      <c r="F38" s="56" t="n">
        <v>1.0966</v>
      </c>
      <c r="G38" s="56" t="n">
        <v>0.9815</v>
      </c>
      <c r="H38" s="56" t="n">
        <v>0.8693</v>
      </c>
      <c r="I38" s="56" t="n">
        <v>0.762</v>
      </c>
      <c r="J38" s="56" t="n">
        <v>0.6615</v>
      </c>
      <c r="K38" s="56" t="n">
        <v>0.4856</v>
      </c>
      <c r="L38" s="56" t="n">
        <v>0.4114</v>
      </c>
      <c r="M38" s="56" t="n">
        <v>0.3462</v>
      </c>
      <c r="N38" s="56" t="n">
        <v>0.2897</v>
      </c>
      <c r="O38" s="56" t="n">
        <v>0.2413</v>
      </c>
      <c r="P38" s="56" t="n">
        <v>0.2001</v>
      </c>
    </row>
    <row r="39" ht="15" customHeight="1" s="29">
      <c r="A39" s="55" t="n">
        <v>15</v>
      </c>
      <c r="B39" s="56" t="n">
        <v>1.8563</v>
      </c>
      <c r="C39" s="56" t="n">
        <v>1.9848</v>
      </c>
      <c r="D39" s="56" t="n">
        <v>2.1133</v>
      </c>
      <c r="E39" s="56" t="n">
        <v>1.1009</v>
      </c>
      <c r="F39" s="56" t="n">
        <v>0.9858</v>
      </c>
      <c r="G39" s="56" t="n">
        <v>0.8733</v>
      </c>
      <c r="H39" s="56" t="n">
        <v>0.7659</v>
      </c>
      <c r="I39" s="56" t="n">
        <v>0.6651</v>
      </c>
      <c r="J39" s="56" t="n">
        <v>0.5724</v>
      </c>
      <c r="K39" s="56" t="n">
        <v>0.414</v>
      </c>
      <c r="L39" s="56" t="n">
        <v>0.3485</v>
      </c>
      <c r="M39" s="56" t="n">
        <v>0.2917</v>
      </c>
      <c r="N39" s="56" t="n">
        <v>0.2429</v>
      </c>
      <c r="O39" s="56" t="n">
        <v>0.2015</v>
      </c>
      <c r="P39" s="56" t="n">
        <v>0.1665</v>
      </c>
    </row>
    <row r="40" ht="15" customHeight="1" s="29">
      <c r="A40" s="55" t="n">
        <v>16</v>
      </c>
      <c r="B40" s="56" t="n">
        <v>1.98</v>
      </c>
      <c r="C40" s="56" t="n">
        <v>2.1086</v>
      </c>
      <c r="D40" s="56" t="n">
        <v>1.1052</v>
      </c>
      <c r="E40" s="56" t="n">
        <v>0.99</v>
      </c>
      <c r="F40" s="56" t="n">
        <v>0.8774999999999999</v>
      </c>
      <c r="G40" s="56" t="n">
        <v>0.7697000000000001</v>
      </c>
      <c r="H40" s="56" t="n">
        <v>0.6687</v>
      </c>
      <c r="I40" s="56" t="n">
        <v>0.5757</v>
      </c>
      <c r="J40" s="56" t="n">
        <v>0.4915</v>
      </c>
      <c r="K40" s="56" t="n">
        <v>0.3508</v>
      </c>
      <c r="L40" s="56" t="n">
        <v>0.2936</v>
      </c>
      <c r="M40" s="56" t="n">
        <v>0.2446</v>
      </c>
      <c r="N40" s="56" t="n">
        <v>0.2029</v>
      </c>
      <c r="O40" s="56" t="n">
        <v>0.1677</v>
      </c>
      <c r="P40" s="56" t="n">
        <v>0.1382</v>
      </c>
    </row>
    <row r="41" ht="15" customHeight="1" s="29">
      <c r="A41" s="55" t="n">
        <v>17</v>
      </c>
      <c r="B41" s="56" t="n">
        <v>2.1038</v>
      </c>
      <c r="C41" s="56" t="n">
        <v>1.1095</v>
      </c>
      <c r="D41" s="56" t="n">
        <v>0.9942</v>
      </c>
      <c r="E41" s="56" t="n">
        <v>0.8816000000000001</v>
      </c>
      <c r="F41" s="56" t="n">
        <v>0.7736</v>
      </c>
      <c r="G41" s="56" t="n">
        <v>0.6723</v>
      </c>
      <c r="H41" s="56" t="n">
        <v>0.579</v>
      </c>
      <c r="I41" s="56" t="n">
        <v>0.4945</v>
      </c>
      <c r="J41" s="56" t="n">
        <v>0.4192</v>
      </c>
      <c r="K41" s="56" t="n">
        <v>0.2956</v>
      </c>
      <c r="L41" s="56" t="n">
        <v>0.2463</v>
      </c>
      <c r="M41" s="56" t="n">
        <v>0.2043</v>
      </c>
      <c r="N41" s="56" t="n">
        <v>0.1689</v>
      </c>
      <c r="O41" s="56" t="n">
        <v>0.1392</v>
      </c>
      <c r="P41" s="56" t="n">
        <v>0.1144</v>
      </c>
    </row>
    <row r="42" ht="15" customHeight="1" s="29">
      <c r="A42" s="55" t="n">
        <v>18</v>
      </c>
      <c r="B42" s="56" t="n">
        <v>2.2275</v>
      </c>
      <c r="C42" s="56" t="n">
        <v>0.9985000000000001</v>
      </c>
      <c r="D42" s="56" t="n">
        <v>0.8857</v>
      </c>
      <c r="E42" s="56" t="n">
        <v>0.7775</v>
      </c>
      <c r="F42" s="56" t="n">
        <v>0.676</v>
      </c>
      <c r="G42" s="56" t="n">
        <v>0.5823</v>
      </c>
      <c r="H42" s="56" t="n">
        <v>0.4975</v>
      </c>
      <c r="I42" s="56" t="n">
        <v>0.4218</v>
      </c>
      <c r="J42" s="56" t="n">
        <v>0.3553</v>
      </c>
      <c r="K42" s="56" t="n">
        <v>0.248</v>
      </c>
      <c r="L42" s="56" t="n">
        <v>0.2058</v>
      </c>
      <c r="M42" s="56" t="n">
        <v>0.1701</v>
      </c>
      <c r="N42" s="56" t="n">
        <v>0.1402</v>
      </c>
      <c r="O42" s="56" t="n">
        <v>0.1153</v>
      </c>
      <c r="P42" s="56" t="n">
        <v>0.0946</v>
      </c>
    </row>
    <row r="43" ht="15" customHeight="1" s="29">
      <c r="A43" s="55" t="n">
        <v>19</v>
      </c>
      <c r="B43" s="56" t="n">
        <v>1.0028</v>
      </c>
      <c r="C43" s="56" t="n">
        <v>0.8898</v>
      </c>
      <c r="D43" s="56" t="n">
        <v>0.7815</v>
      </c>
      <c r="E43" s="56" t="n">
        <v>0.6796</v>
      </c>
      <c r="F43" s="56" t="n">
        <v>0.5856</v>
      </c>
      <c r="G43" s="56" t="n">
        <v>0.5004999999999999</v>
      </c>
      <c r="H43" s="56" t="n">
        <v>0.4245</v>
      </c>
      <c r="I43" s="56" t="n">
        <v>0.3577</v>
      </c>
      <c r="J43" s="56" t="n">
        <v>0.2996</v>
      </c>
      <c r="K43" s="56" t="n">
        <v>0.2072</v>
      </c>
      <c r="L43" s="56" t="n">
        <v>0.1713</v>
      </c>
      <c r="M43" s="56" t="n">
        <v>0.1412</v>
      </c>
      <c r="N43" s="56" t="n">
        <v>0.1161</v>
      </c>
      <c r="O43" s="56" t="n">
        <v>0.0953</v>
      </c>
      <c r="P43" s="56" t="n">
        <v>0.078</v>
      </c>
    </row>
    <row r="44" ht="15" customHeight="1" s="29">
      <c r="A44" s="55" t="n">
        <v>20</v>
      </c>
      <c r="B44" s="56" t="n">
        <v>0.8939</v>
      </c>
      <c r="C44" s="56" t="n">
        <v>0.7854</v>
      </c>
      <c r="D44" s="56" t="n">
        <v>0.6833</v>
      </c>
      <c r="E44" s="56" t="n">
        <v>0.589</v>
      </c>
      <c r="F44" s="56" t="n">
        <v>0.5034999999999999</v>
      </c>
      <c r="G44" s="56" t="n">
        <v>0.4272</v>
      </c>
      <c r="H44" s="56" t="n">
        <v>0.36</v>
      </c>
      <c r="I44" s="56" t="n">
        <v>0.3016</v>
      </c>
      <c r="J44" s="56" t="n">
        <v>0.2514</v>
      </c>
      <c r="K44" s="56" t="n">
        <v>0.1726</v>
      </c>
      <c r="L44" s="56" t="n">
        <v>0.1423</v>
      </c>
      <c r="M44" s="56" t="n">
        <v>0.117</v>
      </c>
      <c r="N44" s="56" t="n">
        <v>0.096</v>
      </c>
      <c r="O44" s="56" t="n">
        <v>0.0786</v>
      </c>
      <c r="P44" s="56" t="n">
        <v>0.0643</v>
      </c>
    </row>
    <row r="45" ht="15" customHeight="1" s="29">
      <c r="A45" s="55" t="n">
        <v>21</v>
      </c>
      <c r="B45" s="56" t="n">
        <v>0.7893</v>
      </c>
      <c r="C45" s="56" t="n">
        <v>0.6869</v>
      </c>
      <c r="D45" s="56" t="n">
        <v>0.5923</v>
      </c>
      <c r="E45" s="56" t="n">
        <v>0.5065</v>
      </c>
      <c r="F45" s="56" t="n">
        <v>0.4298</v>
      </c>
      <c r="G45" s="56" t="n">
        <v>0.3623</v>
      </c>
      <c r="H45" s="56" t="n">
        <v>0.3036</v>
      </c>
      <c r="I45" s="56" t="n">
        <v>0.2531</v>
      </c>
      <c r="J45" s="56" t="n">
        <v>0.2101</v>
      </c>
      <c r="K45" s="56" t="n">
        <v>0.1433</v>
      </c>
      <c r="L45" s="56" t="n">
        <v>0.1178</v>
      </c>
      <c r="M45" s="56" t="n">
        <v>0.09669999999999999</v>
      </c>
      <c r="N45" s="56" t="n">
        <v>0.07920000000000001</v>
      </c>
      <c r="O45" s="56" t="n">
        <v>0.0648</v>
      </c>
      <c r="P45" s="56" t="n">
        <v>0.0529</v>
      </c>
    </row>
    <row r="46" ht="15" customHeight="1" s="29">
      <c r="A46" s="55" t="n">
        <v>22</v>
      </c>
      <c r="B46" s="56" t="n">
        <v>0.6906</v>
      </c>
      <c r="C46" s="56" t="n">
        <v>0.5957</v>
      </c>
      <c r="D46" s="56" t="n">
        <v>0.5095</v>
      </c>
      <c r="E46" s="56" t="n">
        <v>0.4325</v>
      </c>
      <c r="F46" s="56" t="n">
        <v>0.3647</v>
      </c>
      <c r="G46" s="56" t="n">
        <v>0.3057</v>
      </c>
      <c r="H46" s="56" t="n">
        <v>0.2549</v>
      </c>
      <c r="I46" s="56" t="n">
        <v>0.2116</v>
      </c>
      <c r="J46" s="56" t="n">
        <v>0.175</v>
      </c>
      <c r="K46" s="56" t="n">
        <v>0.1187</v>
      </c>
      <c r="L46" s="56" t="n">
        <v>0.0974</v>
      </c>
      <c r="M46" s="56" t="n">
        <v>0.0798</v>
      </c>
      <c r="N46" s="56" t="n">
        <v>0.0653</v>
      </c>
      <c r="O46" s="56" t="n">
        <v>0.0533</v>
      </c>
      <c r="P46" s="56" t="n">
        <v>0.0435</v>
      </c>
    </row>
    <row r="47" ht="15" customHeight="1" s="29">
      <c r="A47" s="55" t="n">
        <v>23</v>
      </c>
      <c r="B47" s="56" t="n">
        <v>0.5991</v>
      </c>
      <c r="C47" s="56" t="n">
        <v>0.5125999999999999</v>
      </c>
      <c r="D47" s="56" t="n">
        <v>0.4352</v>
      </c>
      <c r="E47" s="56" t="n">
        <v>0.367</v>
      </c>
      <c r="F47" s="56" t="n">
        <v>0.3077</v>
      </c>
      <c r="G47" s="56" t="n">
        <v>0.2566</v>
      </c>
      <c r="H47" s="56" t="n">
        <v>0.2131</v>
      </c>
      <c r="I47" s="56" t="n">
        <v>0.1763</v>
      </c>
      <c r="J47" s="56" t="n">
        <v>0.1454</v>
      </c>
      <c r="K47" s="56" t="n">
        <v>0.09810000000000001</v>
      </c>
      <c r="L47" s="56" t="n">
        <v>0.0804</v>
      </c>
      <c r="M47" s="56" t="n">
        <v>0.0658</v>
      </c>
      <c r="N47" s="56" t="n">
        <v>0.0537</v>
      </c>
      <c r="O47" s="56" t="n">
        <v>0.0438</v>
      </c>
      <c r="P47" s="56" t="n">
        <v>0.0358</v>
      </c>
    </row>
    <row r="48" ht="15" customHeight="1" s="29">
      <c r="A48" s="55" t="n">
        <v>24</v>
      </c>
      <c r="B48" s="56" t="n">
        <v>0.5155999999999999</v>
      </c>
      <c r="C48" s="56" t="n">
        <v>0.4379</v>
      </c>
      <c r="D48" s="56" t="n">
        <v>0.3694</v>
      </c>
      <c r="E48" s="56" t="n">
        <v>0.3097</v>
      </c>
      <c r="F48" s="56" t="n">
        <v>0.2584</v>
      </c>
      <c r="G48" s="56" t="n">
        <v>0.2146</v>
      </c>
      <c r="H48" s="56" t="n">
        <v>0.1775</v>
      </c>
      <c r="I48" s="56" t="n">
        <v>0.1464</v>
      </c>
      <c r="J48" s="56" t="n">
        <v>0.1205</v>
      </c>
      <c r="K48" s="56" t="n">
        <v>0.081</v>
      </c>
      <c r="L48" s="56" t="n">
        <v>0.0663</v>
      </c>
      <c r="M48" s="56" t="n">
        <v>0.0541</v>
      </c>
      <c r="N48" s="56" t="n">
        <v>0.0442</v>
      </c>
      <c r="O48" s="56" t="n">
        <v>0.036</v>
      </c>
      <c r="P48" s="56" t="n">
        <v>0.0294</v>
      </c>
    </row>
    <row r="49" ht="15" customHeight="1" s="29">
      <c r="A49" s="55" t="n">
        <v>25</v>
      </c>
      <c r="B49" s="56" t="n">
        <v>0.4406</v>
      </c>
      <c r="C49" s="56" t="n">
        <v>0.3718</v>
      </c>
      <c r="D49" s="56" t="n">
        <v>0.3118</v>
      </c>
      <c r="E49" s="56" t="n">
        <v>0.2602</v>
      </c>
      <c r="F49" s="56" t="n">
        <v>0.2161</v>
      </c>
      <c r="G49" s="56" t="n">
        <v>0.1788</v>
      </c>
      <c r="H49" s="56" t="n">
        <v>0.1475</v>
      </c>
      <c r="I49" s="56" t="n">
        <v>0.1213</v>
      </c>
      <c r="J49" s="56" t="n">
        <v>0.09959999999999999</v>
      </c>
      <c r="K49" s="56" t="n">
        <v>0.0668</v>
      </c>
      <c r="L49" s="56" t="n">
        <v>0.0545</v>
      </c>
      <c r="M49" s="56" t="n">
        <v>0.0445</v>
      </c>
      <c r="N49" s="56" t="n">
        <v>0.0363</v>
      </c>
      <c r="O49" s="56" t="n">
        <v>0.0296</v>
      </c>
      <c r="P49" s="56" t="n">
        <v>0.0241</v>
      </c>
    </row>
    <row r="50" ht="15" customHeight="1" s="29">
      <c r="A50" s="55" t="n">
        <v>26</v>
      </c>
      <c r="B50" s="56" t="n">
        <v>0.3742</v>
      </c>
      <c r="C50" s="56" t="n">
        <v>0.3139</v>
      </c>
      <c r="D50" s="56" t="n">
        <v>0.2619</v>
      </c>
      <c r="E50" s="56" t="n">
        <v>0.2176</v>
      </c>
      <c r="F50" s="56" t="n">
        <v>0.1801</v>
      </c>
      <c r="G50" s="56" t="n">
        <v>0.1486</v>
      </c>
      <c r="H50" s="56" t="n">
        <v>0.1222</v>
      </c>
      <c r="I50" s="56" t="n">
        <v>0.1003</v>
      </c>
      <c r="J50" s="56" t="n">
        <v>0.0822</v>
      </c>
      <c r="K50" s="56" t="n">
        <v>0.055</v>
      </c>
      <c r="L50" s="56" t="n">
        <v>0.0449</v>
      </c>
      <c r="M50" s="56" t="n">
        <v>0.0366</v>
      </c>
      <c r="N50" s="56" t="n">
        <v>0.0298</v>
      </c>
      <c r="O50" s="56" t="n">
        <v>0.0243</v>
      </c>
      <c r="P50" s="56" t="n">
        <v>0.0198</v>
      </c>
    </row>
    <row r="51" ht="15" customHeight="1" s="29">
      <c r="A51" s="55" t="n">
        <v>27</v>
      </c>
      <c r="B51" s="56" t="n">
        <v>0.316</v>
      </c>
      <c r="C51" s="56" t="n">
        <v>0.2637</v>
      </c>
      <c r="D51" s="56" t="n">
        <v>0.2191</v>
      </c>
      <c r="E51" s="56" t="n">
        <v>0.1814</v>
      </c>
      <c r="F51" s="56" t="n">
        <v>0.1496</v>
      </c>
      <c r="G51" s="56" t="n">
        <v>0.1231</v>
      </c>
      <c r="H51" s="56" t="n">
        <v>0.1011</v>
      </c>
      <c r="I51" s="56" t="n">
        <v>0.0828</v>
      </c>
      <c r="J51" s="56" t="n">
        <v>0.0678</v>
      </c>
      <c r="K51" s="56" t="n">
        <v>0.0452</v>
      </c>
      <c r="L51" s="56" t="n">
        <v>0.0369</v>
      </c>
      <c r="M51" s="56" t="n">
        <v>0.03</v>
      </c>
      <c r="N51" s="56" t="n">
        <v>0.0245</v>
      </c>
      <c r="O51" s="56" t="n">
        <v>0.0199</v>
      </c>
      <c r="P51" s="56" t="n">
        <v>0.0162</v>
      </c>
    </row>
    <row r="52" ht="15" customHeight="1" s="29">
      <c r="A52" s="55" t="n">
        <v>28</v>
      </c>
      <c r="B52" s="56" t="n">
        <v>0.2655</v>
      </c>
      <c r="C52" s="56" t="n">
        <v>0.2207</v>
      </c>
      <c r="D52" s="56" t="n">
        <v>0.1827</v>
      </c>
      <c r="E52" s="56" t="n">
        <v>0.1507</v>
      </c>
      <c r="F52" s="56" t="n">
        <v>0.124</v>
      </c>
      <c r="G52" s="56" t="n">
        <v>0.1018</v>
      </c>
      <c r="H52" s="56" t="n">
        <v>0.0834</v>
      </c>
      <c r="I52" s="56" t="n">
        <v>0.0683</v>
      </c>
      <c r="J52" s="56" t="n">
        <v>0.0558</v>
      </c>
      <c r="K52" s="56" t="n">
        <v>0.0371</v>
      </c>
      <c r="L52" s="56" t="n">
        <v>0.0303</v>
      </c>
      <c r="M52" s="56" t="n">
        <v>0.0247</v>
      </c>
      <c r="N52" s="56" t="n">
        <v>0.0201</v>
      </c>
      <c r="O52" s="56" t="n">
        <v>0.0163</v>
      </c>
      <c r="P52" s="56" t="n">
        <v>0.0133</v>
      </c>
    </row>
    <row r="53" ht="15" customHeight="1" s="29">
      <c r="A53" s="55" t="n">
        <v>29</v>
      </c>
      <c r="B53" s="56" t="n">
        <v>0.2222</v>
      </c>
      <c r="C53" s="56" t="n">
        <v>0.184</v>
      </c>
      <c r="D53" s="56" t="n">
        <v>0.1518</v>
      </c>
      <c r="E53" s="56" t="n">
        <v>0.1249</v>
      </c>
      <c r="F53" s="56" t="n">
        <v>0.1026</v>
      </c>
      <c r="G53" s="56" t="n">
        <v>0.08409999999999999</v>
      </c>
      <c r="H53" s="56" t="n">
        <v>0.0688</v>
      </c>
      <c r="I53" s="56" t="n">
        <v>0.0562</v>
      </c>
      <c r="J53" s="56" t="n">
        <v>0.0459</v>
      </c>
      <c r="K53" s="56" t="n">
        <v>0.0305</v>
      </c>
      <c r="L53" s="56" t="n">
        <v>0.0248</v>
      </c>
      <c r="M53" s="56" t="n">
        <v>0.0202</v>
      </c>
      <c r="N53" s="56" t="n">
        <v>0.0165</v>
      </c>
      <c r="O53" s="56" t="n">
        <v>0.0134</v>
      </c>
      <c r="P53" s="56" t="n">
        <v>0.0109</v>
      </c>
    </row>
    <row r="54" ht="15" customHeight="1" s="29">
      <c r="A54" s="55" t="n">
        <v>30</v>
      </c>
      <c r="B54" s="56" t="n">
        <v>0.1853</v>
      </c>
      <c r="C54" s="56" t="n">
        <v>0.1529</v>
      </c>
      <c r="D54" s="56" t="n">
        <v>0.1258</v>
      </c>
      <c r="E54" s="56" t="n">
        <v>0.1033</v>
      </c>
      <c r="F54" s="56" t="n">
        <v>0.0847</v>
      </c>
      <c r="G54" s="56" t="n">
        <v>0.0693</v>
      </c>
      <c r="H54" s="56" t="n">
        <v>0.0566</v>
      </c>
      <c r="I54" s="56" t="n">
        <v>0.0462</v>
      </c>
      <c r="J54" s="56" t="n">
        <v>0.0377</v>
      </c>
      <c r="K54" s="56" t="n">
        <v>0.025</v>
      </c>
      <c r="L54" s="56" t="n">
        <v>0.0204</v>
      </c>
      <c r="M54" s="56" t="n">
        <v>0.0166</v>
      </c>
      <c r="N54" s="56" t="n">
        <v>0.0135</v>
      </c>
      <c r="O54" s="56" t="n">
        <v>0.011</v>
      </c>
      <c r="P54" s="56" t="n">
        <v>0.0089</v>
      </c>
    </row>
    <row r="55" ht="15" customHeight="1" s="29">
      <c r="A55" s="55" t="n">
        <v>31</v>
      </c>
      <c r="B55" s="56" t="n">
        <v>0.154</v>
      </c>
      <c r="C55" s="56" t="n">
        <v>0.1268</v>
      </c>
      <c r="D55" s="56" t="n">
        <v>0.1041</v>
      </c>
      <c r="E55" s="56" t="n">
        <v>0.0853</v>
      </c>
      <c r="F55" s="56" t="n">
        <v>0.0698</v>
      </c>
      <c r="G55" s="56" t="n">
        <v>0.0571</v>
      </c>
      <c r="H55" s="56" t="n">
        <v>0.0466</v>
      </c>
      <c r="I55" s="56" t="n">
        <v>0.038</v>
      </c>
      <c r="J55" s="56" t="n">
        <v>0.031</v>
      </c>
      <c r="K55" s="56" t="n">
        <v>0.0205</v>
      </c>
      <c r="L55" s="56" t="n">
        <v>0.0167</v>
      </c>
      <c r="M55" s="56" t="n">
        <v>0.0136</v>
      </c>
      <c r="N55" s="56" t="n">
        <v>0.0111</v>
      </c>
      <c r="O55" s="56" t="n">
        <v>0.008999999999999999</v>
      </c>
      <c r="P55" s="56" t="n">
        <v>0.0073</v>
      </c>
    </row>
    <row r="56" ht="15" customHeight="1" s="29">
      <c r="A56" s="55" t="n">
        <v>32</v>
      </c>
      <c r="B56" s="56" t="n">
        <v>0.1277</v>
      </c>
      <c r="C56" s="56" t="n">
        <v>0.1049</v>
      </c>
      <c r="D56" s="56" t="n">
        <v>0.08599999999999999</v>
      </c>
      <c r="E56" s="56" t="n">
        <v>0.0703</v>
      </c>
      <c r="F56" s="56" t="n">
        <v>0.0575</v>
      </c>
      <c r="G56" s="56" t="n">
        <v>0.0469</v>
      </c>
      <c r="H56" s="56" t="n">
        <v>0.0383</v>
      </c>
      <c r="I56" s="56" t="n">
        <v>0.0312</v>
      </c>
      <c r="J56" s="56" t="n">
        <v>0.0254</v>
      </c>
      <c r="K56" s="56" t="n">
        <v>0.0168</v>
      </c>
      <c r="L56" s="56" t="n">
        <v>0.0137</v>
      </c>
      <c r="M56" s="56" t="n">
        <v>0.0111</v>
      </c>
      <c r="N56" s="56" t="n">
        <v>0.0091</v>
      </c>
      <c r="O56" s="56" t="n">
        <v>0.0074</v>
      </c>
      <c r="P56" s="56" t="n">
        <v>0.006</v>
      </c>
    </row>
    <row r="57" ht="15" customHeight="1" s="29">
      <c r="A57" s="55" t="n">
        <v>33</v>
      </c>
      <c r="B57" s="56" t="n">
        <v>0.1056</v>
      </c>
      <c r="C57" s="56" t="n">
        <v>0.0866</v>
      </c>
      <c r="D57" s="56" t="n">
        <v>0.0709</v>
      </c>
      <c r="E57" s="56" t="n">
        <v>0.0579</v>
      </c>
      <c r="F57" s="56" t="n">
        <v>0.0473</v>
      </c>
      <c r="G57" s="56" t="n">
        <v>0.0386</v>
      </c>
      <c r="H57" s="56" t="n">
        <v>0.0314</v>
      </c>
      <c r="I57" s="56" t="n">
        <v>0.0256</v>
      </c>
      <c r="J57" s="56" t="n">
        <v>0.0209</v>
      </c>
      <c r="K57" s="56" t="n">
        <v>0.0138</v>
      </c>
      <c r="L57" s="56" t="n">
        <v>0.0112</v>
      </c>
      <c r="M57" s="56" t="n">
        <v>0.0091</v>
      </c>
      <c r="N57" s="56" t="n">
        <v>0.0074</v>
      </c>
      <c r="O57" s="56" t="n">
        <v>0.006</v>
      </c>
      <c r="P57" s="56" t="n">
        <v>0.0049</v>
      </c>
    </row>
    <row r="58" ht="15" customHeight="1" s="29">
      <c r="A58" s="55" t="n">
        <v>34</v>
      </c>
      <c r="B58" s="56" t="n">
        <v>0.0872</v>
      </c>
      <c r="C58" s="56" t="n">
        <v>0.07140000000000001</v>
      </c>
      <c r="D58" s="56" t="n">
        <v>0.0584</v>
      </c>
      <c r="E58" s="56" t="n">
        <v>0.0476</v>
      </c>
      <c r="F58" s="56" t="n">
        <v>0.0389</v>
      </c>
      <c r="G58" s="56" t="n">
        <v>0.0317</v>
      </c>
      <c r="H58" s="56" t="n">
        <v>0.0258</v>
      </c>
      <c r="I58" s="56" t="n">
        <v>0.021</v>
      </c>
      <c r="J58" s="56" t="n">
        <v>0.0171</v>
      </c>
      <c r="K58" s="56" t="n">
        <v>0.0113</v>
      </c>
      <c r="L58" s="56" t="n">
        <v>0.0092</v>
      </c>
      <c r="M58" s="56" t="n">
        <v>0.0075</v>
      </c>
      <c r="N58" s="56" t="n">
        <v>0.0061</v>
      </c>
      <c r="O58" s="56" t="n">
        <v>0.0049</v>
      </c>
      <c r="P58" s="56" t="n">
        <v>0.004</v>
      </c>
    </row>
    <row r="59" ht="15" customHeight="1" s="29">
      <c r="A59" s="55" t="n">
        <v>35</v>
      </c>
      <c r="B59" s="56" t="n">
        <v>0.07190000000000001</v>
      </c>
      <c r="C59" s="56" t="n">
        <v>0.0588</v>
      </c>
      <c r="D59" s="56" t="n">
        <v>0.048</v>
      </c>
      <c r="E59" s="56" t="n">
        <v>0.0392</v>
      </c>
      <c r="F59" s="56" t="n">
        <v>0.0319</v>
      </c>
      <c r="G59" s="56" t="n">
        <v>0.026</v>
      </c>
      <c r="H59" s="56" t="n">
        <v>0.0212</v>
      </c>
      <c r="I59" s="56" t="n">
        <v>0.0172</v>
      </c>
      <c r="J59" s="56" t="n">
        <v>0.014</v>
      </c>
      <c r="K59" s="56" t="n">
        <v>0.009299999999999999</v>
      </c>
      <c r="L59" s="56" t="n">
        <v>0.0075</v>
      </c>
      <c r="M59" s="56" t="n">
        <v>0.0061</v>
      </c>
      <c r="N59" s="56" t="n">
        <v>0.005</v>
      </c>
      <c r="O59" s="56" t="n">
        <v>0.004</v>
      </c>
      <c r="P59" s="56" t="n">
        <v>0.0033</v>
      </c>
    </row>
    <row r="60" ht="15" customHeight="1" s="29">
      <c r="A60" s="55" t="n">
        <v>36</v>
      </c>
      <c r="B60" s="56" t="n">
        <v>0.1484</v>
      </c>
      <c r="C60" s="56" t="n">
        <v>0.1386</v>
      </c>
      <c r="D60" s="56" t="n">
        <v>0.1306</v>
      </c>
      <c r="E60" s="56" t="n">
        <v>0.1241</v>
      </c>
      <c r="F60" s="56" t="n">
        <v>0.1187</v>
      </c>
      <c r="G60" s="56" t="n">
        <v>0.1143</v>
      </c>
      <c r="H60" s="56" t="n">
        <v>0.1107</v>
      </c>
      <c r="I60" s="56" t="n">
        <v>0.1078</v>
      </c>
      <c r="J60" s="56" t="n">
        <v>0.1054</v>
      </c>
      <c r="K60" s="56" t="n">
        <v>0.1019</v>
      </c>
      <c r="L60" s="56" t="n">
        <v>0.1007</v>
      </c>
      <c r="M60" s="56" t="n">
        <v>0.09959999999999999</v>
      </c>
      <c r="N60" s="56" t="n">
        <v>0.0988</v>
      </c>
      <c r="O60" s="56" t="n">
        <v>0.09810000000000001</v>
      </c>
      <c r="P60" s="56" t="n">
        <v>0.0975</v>
      </c>
    </row>
    <row r="61" ht="15" customHeight="1" s="29">
      <c r="A61" s="55" t="n">
        <v>37</v>
      </c>
      <c r="B61" s="56" t="n">
        <v>0.2312</v>
      </c>
      <c r="C61" s="56" t="n">
        <v>0.2241</v>
      </c>
      <c r="D61" s="56" t="n">
        <v>0.2182</v>
      </c>
      <c r="E61" s="56" t="n">
        <v>0.2134</v>
      </c>
      <c r="F61" s="56" t="n">
        <v>0.2095</v>
      </c>
      <c r="G61" s="56" t="n">
        <v>0.2063</v>
      </c>
      <c r="H61" s="56" t="n">
        <v>0.2036</v>
      </c>
      <c r="I61" s="56" t="n">
        <v>0.2015</v>
      </c>
      <c r="J61" s="56" t="n">
        <v>0.1998</v>
      </c>
      <c r="K61" s="56" t="n">
        <v>0.1972</v>
      </c>
      <c r="L61" s="56" t="n">
        <v>0.1963</v>
      </c>
      <c r="M61" s="56" t="n">
        <v>0.1955</v>
      </c>
      <c r="N61" s="56" t="n">
        <v>0.1949</v>
      </c>
      <c r="O61" s="56" t="n">
        <v>0.1944</v>
      </c>
      <c r="P61" s="56" t="n">
        <v>0.194</v>
      </c>
    </row>
    <row r="62" ht="15" customHeight="1" s="29">
      <c r="A62" s="55" t="n">
        <v>38</v>
      </c>
      <c r="B62" s="56" t="n">
        <v>0.3191</v>
      </c>
      <c r="C62" s="56" t="n">
        <v>0.314</v>
      </c>
      <c r="D62" s="56" t="n">
        <v>0.3097</v>
      </c>
      <c r="E62" s="56" t="n">
        <v>0.3063</v>
      </c>
      <c r="F62" s="56" t="n">
        <v>0.3034</v>
      </c>
      <c r="G62" s="56" t="n">
        <v>0.3011</v>
      </c>
      <c r="H62" s="56" t="n">
        <v>0.2993</v>
      </c>
      <c r="I62" s="56" t="n">
        <v>0.2977</v>
      </c>
      <c r="J62" s="56" t="n">
        <v>0.2965</v>
      </c>
      <c r="K62" s="56" t="n">
        <v>0.2947</v>
      </c>
      <c r="L62" s="56" t="n">
        <v>0.294</v>
      </c>
      <c r="M62" s="56" t="n">
        <v>0.2934</v>
      </c>
      <c r="N62" s="56" t="n">
        <v>0.293</v>
      </c>
      <c r="O62" s="56" t="n">
        <v>0.2926</v>
      </c>
      <c r="P62" s="56" t="n">
        <v>0.2924</v>
      </c>
    </row>
    <row r="63" ht="15" customHeight="1" s="29">
      <c r="A63" s="55" t="n">
        <v>39</v>
      </c>
      <c r="B63" s="56" t="n">
        <v>0.411</v>
      </c>
      <c r="C63" s="56" t="n">
        <v>0.4073</v>
      </c>
      <c r="D63" s="56" t="n">
        <v>0.4044</v>
      </c>
      <c r="E63" s="56" t="n">
        <v>0.4019</v>
      </c>
      <c r="F63" s="56" t="n">
        <v>0.3999</v>
      </c>
      <c r="G63" s="56" t="n">
        <v>0.3983</v>
      </c>
      <c r="H63" s="56" t="n">
        <v>0.397</v>
      </c>
      <c r="I63" s="56" t="n">
        <v>0.3959</v>
      </c>
      <c r="J63" s="56" t="n">
        <v>0.3951</v>
      </c>
      <c r="K63" s="56" t="n">
        <v>0.3938</v>
      </c>
      <c r="L63" s="56" t="n">
        <v>0.3933</v>
      </c>
      <c r="M63" s="56" t="n">
        <v>0.3929</v>
      </c>
      <c r="N63" s="56" t="n">
        <v>0.3926</v>
      </c>
      <c r="O63" s="56" t="n">
        <v>0.3924</v>
      </c>
      <c r="P63" s="56" t="n">
        <v>0.3921</v>
      </c>
    </row>
    <row r="64" ht="15" customHeight="1" s="29">
      <c r="A64" s="55" t="n">
        <v>40</v>
      </c>
      <c r="B64" s="56" t="n">
        <v>0.5059</v>
      </c>
      <c r="C64" s="56" t="n">
        <v>0.5034</v>
      </c>
      <c r="D64" s="56" t="n">
        <v>0.5014</v>
      </c>
      <c r="E64" s="56" t="n">
        <v>0.4997</v>
      </c>
      <c r="F64" s="56" t="n">
        <v>0.4983</v>
      </c>
      <c r="G64" s="56" t="n">
        <v>0.4972</v>
      </c>
      <c r="H64" s="56" t="n">
        <v>0.4963</v>
      </c>
      <c r="I64" s="56" t="n">
        <v>0.4956</v>
      </c>
      <c r="J64" s="56" t="n">
        <v>0.495</v>
      </c>
      <c r="K64" s="56" t="n">
        <v>0.4941</v>
      </c>
      <c r="L64" s="56" t="n">
        <v>0.4938</v>
      </c>
      <c r="M64" s="56" t="n">
        <v>0.4935</v>
      </c>
      <c r="N64" s="56" t="n">
        <v>0.4933</v>
      </c>
      <c r="O64" s="56" t="n">
        <v>0.4931</v>
      </c>
      <c r="P64" s="56" t="n">
        <v>0.493</v>
      </c>
    </row>
    <row r="65" ht="15" customHeight="1" s="29">
      <c r="A65" s="55" t="n">
        <v>41</v>
      </c>
      <c r="B65" s="56" t="n">
        <v>0.603</v>
      </c>
      <c r="C65" s="56" t="n">
        <v>0.6014</v>
      </c>
      <c r="D65" s="56" t="n">
        <v>0.6</v>
      </c>
      <c r="E65" s="56" t="n">
        <v>0.5989</v>
      </c>
      <c r="F65" s="56" t="n">
        <v>0.598</v>
      </c>
      <c r="G65" s="56" t="n">
        <v>0.5973000000000001</v>
      </c>
      <c r="H65" s="56" t="n">
        <v>0.5967</v>
      </c>
      <c r="I65" s="56" t="n">
        <v>0.5962</v>
      </c>
      <c r="J65" s="56" t="n">
        <v>0.5959</v>
      </c>
      <c r="K65" s="56" t="n">
        <v>0.5953000000000001</v>
      </c>
      <c r="L65" s="56" t="n">
        <v>0.5951</v>
      </c>
      <c r="M65" s="56" t="n">
        <v>0.5949</v>
      </c>
      <c r="N65" s="56" t="n">
        <v>0.5948</v>
      </c>
      <c r="O65" s="56" t="n">
        <v>0.5946</v>
      </c>
      <c r="P65" s="56" t="n">
        <v>0.5946</v>
      </c>
    </row>
    <row r="66" ht="15" customHeight="1" s="29">
      <c r="A66" s="55" t="n">
        <v>42</v>
      </c>
      <c r="B66" s="56" t="n">
        <v>0.7016</v>
      </c>
      <c r="C66" s="56" t="n">
        <v>0.7006</v>
      </c>
      <c r="D66" s="56" t="n">
        <v>0.6998</v>
      </c>
      <c r="E66" s="56" t="n">
        <v>0.6991000000000001</v>
      </c>
      <c r="F66" s="56" t="n">
        <v>0.6986</v>
      </c>
      <c r="G66" s="56" t="n">
        <v>0.6981000000000001</v>
      </c>
      <c r="H66" s="56" t="n">
        <v>0.6977</v>
      </c>
      <c r="I66" s="56" t="n">
        <v>0.6974</v>
      </c>
      <c r="J66" s="56" t="n">
        <v>0.6972</v>
      </c>
      <c r="K66" s="56" t="n">
        <v>0.6969</v>
      </c>
      <c r="L66" s="56" t="n">
        <v>0.6967</v>
      </c>
      <c r="M66" s="56" t="n">
        <v>0.6966</v>
      </c>
      <c r="N66" s="56" t="n">
        <v>0.6965</v>
      </c>
      <c r="O66" s="56" t="n">
        <v>0.6965</v>
      </c>
      <c r="P66" s="56" t="n">
        <v>0.6964</v>
      </c>
    </row>
    <row r="67" ht="15" customHeight="1" s="29">
      <c r="A67" s="55" t="n">
        <v>43</v>
      </c>
      <c r="B67" s="56" t="n">
        <v>0.801</v>
      </c>
      <c r="C67" s="56" t="n">
        <v>0.8005</v>
      </c>
      <c r="D67" s="56" t="n">
        <v>0.8</v>
      </c>
      <c r="E67" s="56" t="n">
        <v>0.7997</v>
      </c>
      <c r="F67" s="56" t="n">
        <v>0.7994</v>
      </c>
      <c r="G67" s="56" t="n">
        <v>0.7991</v>
      </c>
      <c r="H67" s="56" t="n">
        <v>0.7989000000000001</v>
      </c>
      <c r="I67" s="56" t="n">
        <v>0.7988</v>
      </c>
      <c r="J67" s="56" t="n">
        <v>0.7986</v>
      </c>
      <c r="K67" s="56" t="n">
        <v>0.7984</v>
      </c>
      <c r="L67" s="56" t="n">
        <v>0.7984</v>
      </c>
      <c r="M67" s="56" t="n">
        <v>0.7983</v>
      </c>
      <c r="N67" s="56" t="n">
        <v>0.7983</v>
      </c>
      <c r="O67" s="56" t="n">
        <v>0.7982</v>
      </c>
      <c r="P67" s="56" t="n">
        <v>0.7982</v>
      </c>
    </row>
    <row r="68" ht="15" customHeight="1" s="29">
      <c r="A68" s="55" t="n">
        <v>44</v>
      </c>
      <c r="B68" s="56" t="n">
        <v>0.9006999999999999</v>
      </c>
      <c r="C68" s="56" t="n">
        <v>0.9004</v>
      </c>
      <c r="D68" s="56" t="n">
        <v>0.9003</v>
      </c>
      <c r="E68" s="56" t="n">
        <v>0.9001</v>
      </c>
      <c r="F68" s="56" t="n">
        <v>0.9</v>
      </c>
      <c r="G68" s="56" t="n">
        <v>0.8999</v>
      </c>
      <c r="H68" s="56" t="n">
        <v>0.8998</v>
      </c>
      <c r="I68" s="56" t="n">
        <v>0.8997000000000001</v>
      </c>
      <c r="J68" s="56" t="n">
        <v>0.8997000000000001</v>
      </c>
      <c r="K68" s="56" t="n">
        <v>0.8996</v>
      </c>
      <c r="L68" s="56" t="n">
        <v>0.8996</v>
      </c>
      <c r="M68" s="56" t="n">
        <v>0.8996</v>
      </c>
      <c r="N68" s="56" t="n">
        <v>0.8995</v>
      </c>
      <c r="O68" s="56" t="n">
        <v>0.8995</v>
      </c>
      <c r="P68" s="56" t="n">
        <v>0.8995</v>
      </c>
    </row>
    <row r="69" ht="15" customHeight="1" s="29">
      <c r="A69" s="55" t="n">
        <v>45</v>
      </c>
      <c r="B69" s="56" t="n">
        <v>1</v>
      </c>
      <c r="C69" s="56" t="n">
        <v>1</v>
      </c>
      <c r="D69" s="56" t="n">
        <v>1</v>
      </c>
      <c r="E69" s="56" t="n">
        <v>1</v>
      </c>
      <c r="F69" s="56" t="n">
        <v>1</v>
      </c>
      <c r="G69" s="56" t="n">
        <v>1</v>
      </c>
      <c r="H69" s="56" t="n">
        <v>1</v>
      </c>
      <c r="I69" s="56" t="n">
        <v>1</v>
      </c>
      <c r="J69" s="56" t="n">
        <v>1</v>
      </c>
      <c r="K69" s="56" t="n">
        <v>1</v>
      </c>
      <c r="L69" s="56" t="n">
        <v>1</v>
      </c>
      <c r="M69" s="56" t="n">
        <v>1</v>
      </c>
      <c r="N69" s="56" t="n">
        <v>1</v>
      </c>
      <c r="O69" s="56" t="n">
        <v>1</v>
      </c>
      <c r="P69" s="56" t="n">
        <v>1</v>
      </c>
    </row>
  </sheetData>
  <mergeCells count="4">
    <mergeCell ref="A1:V1"/>
    <mergeCell ref="A22:Q22"/>
    <mergeCell ref="M2:V2"/>
    <mergeCell ref="B2:K2"/>
  </mergeCells>
  <conditionalFormatting sqref="B4:K19">
    <cfRule type="colorScale" priority="2">
      <colorScale>
        <cfvo type="min" val="0"/>
        <cfvo type="percentile" val="50"/>
        <cfvo type="max" val="0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 val="0"/>
        <cfvo type="percentile" val="50"/>
        <cfvo type="max" val="0"/>
        <color rgb="FFE9F7EF"/>
        <color rgb="FFF39C12"/>
        <color rgb="FF922B21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2026-06-19T07:23:24Z</dcterms:created>
  <dcterms:modified xmlns:dcterms="http://purl.org/dc/terms/" xmlns:xsi="http://www.w3.org/2001/XMLSchema-instance" xsi:type="dcterms:W3CDTF">2026-06-19T07:24:59Z</dcterms:modified>
  <cp:revision>1</cp:revision>
</cp:coreProperties>
</file>